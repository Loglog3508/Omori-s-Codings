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使用说明" sheetId="1" r:id="rId1"/>
    <sheet name="淘宝TOP10" sheetId="2" r:id="rId2"/>
    <sheet name="生意参谋TOP10（7天）" sheetId="3" r:id="rId3"/>
    <sheet name="生意参谋店铺TOP10（30天）" sheetId="4" r:id="rId4"/>
    <sheet name="市场规模" sheetId="5" r:id="rId5"/>
    <sheet name="百度指数录入" sheetId="6" r:id="rId6"/>
    <sheet name="数据来源"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s>
  <commentList>
    <comment ref="C3" authorId="0">
      <text>
        <r>
          <rPr>
            <sz val="10"/>
            <rFont val="宋体"/>
            <charset val="134"/>
          </rPr>
          <t>官方统计值：全国普通、职业本专科在校生3891.26万人。</t>
        </r>
      </text>
    </comment>
    <comment ref="C4" authorId="0">
      <text>
        <r>
          <rPr>
            <sz val="10"/>
            <rFont val="宋体"/>
            <charset val="134"/>
          </rPr>
          <t>请以针对本校/本地大学生的问卷有效样本购买意愿替换。</t>
        </r>
      </text>
    </comment>
    <comment ref="C5" authorId="0">
      <text>
        <r>
          <rPr>
            <sz val="10"/>
            <rFont val="宋体"/>
            <charset val="134"/>
          </rPr>
          <t>请以针对本校/本地大学生的问卷有效样本购买意愿替换。</t>
        </r>
      </text>
    </comment>
    <comment ref="C6" authorId="0">
      <text>
        <r>
          <rPr>
            <sz val="10"/>
            <rFont val="宋体"/>
            <charset val="134"/>
          </rPr>
          <t>请以针对本校/本地大学生的问卷有效样本购买意愿替换。</t>
        </r>
      </text>
    </comment>
    <comment ref="C7" authorId="0">
      <text>
        <r>
          <rPr>
            <sz val="10"/>
            <rFont val="宋体"/>
            <charset val="134"/>
          </rPr>
          <t>小组于2026-09-10确认主推价59元，价格带49-69元；此值用于线下目标市场的客单价。</t>
        </r>
      </text>
    </comment>
    <comment ref="C13" authorId="0">
      <text>
        <r>
          <rPr>
            <sz val="10"/>
            <rFont val="宋体"/>
            <charset val="134"/>
          </rPr>
          <t>生意参谋 &gt; 市场 &gt; 市场大盘，选择相应叶子类目、近30天，累加可见前500品牌成交额后填写。</t>
        </r>
      </text>
    </comment>
  </commentList>
</comments>
</file>

<file path=xl/comments2.xml><?xml version="1.0" encoding="utf-8"?>
<comments xmlns="http://schemas.openxmlformats.org/spreadsheetml/2006/main">
  <authors>
    <author>Codex</author>
  </authors>
  <commentList>
    <comment ref="B3" authorId="0">
      <text>
        <r>
          <rPr>
            <sz val="10"/>
            <rFont val="宋体"/>
            <charset val="134"/>
          </rPr>
          <t>来自登录后的百度指数可见图表提示。本期：2025-09-08 ~ 2025-09-14=500；去年同期：2024-09-09 ~ 2024-09-15=693。图表在该长区间按周显示；本表按每月一条可见周值记录，用于趋势和同比方向判断，不是百度官方“月均指数”。</t>
        </r>
      </text>
    </comment>
    <comment ref="C3" authorId="0">
      <text>
        <r>
          <rPr>
            <sz val="10"/>
            <rFont val="宋体"/>
            <charset val="134"/>
          </rPr>
          <t>来自登录后的百度指数可见图表提示。本期：2025-09-08 ~ 2025-09-14=500；去年同期：2024-09-09 ~ 2024-09-15=693。图表在该长区间按周显示；本表按每月一条可见周值记录，用于趋势和同比方向判断，不是百度官方“月均指数”。</t>
        </r>
      </text>
    </comment>
    <comment ref="B4" authorId="0">
      <text>
        <r>
          <rPr>
            <sz val="10"/>
            <rFont val="宋体"/>
            <charset val="134"/>
          </rPr>
          <t>来自登录后的百度指数可见图表提示。本期：2025-10-13 ~ 2025-10-19=517；去年同期：2024-10-07 ~ 2024-10-13=692。图表在该长区间按周显示；本表按每月一条可见周值记录，用于趋势和同比方向判断，不是百度官方“月均指数”。</t>
        </r>
      </text>
    </comment>
    <comment ref="C4" authorId="0">
      <text>
        <r>
          <rPr>
            <sz val="10"/>
            <rFont val="宋体"/>
            <charset val="134"/>
          </rPr>
          <t>来自登录后的百度指数可见图表提示。本期：2025-10-13 ~ 2025-10-19=517；去年同期：2024-10-07 ~ 2024-10-13=692。图表在该长区间按周显示；本表按每月一条可见周值记录，用于趋势和同比方向判断，不是百度官方“月均指数”。</t>
        </r>
      </text>
    </comment>
    <comment ref="B5" authorId="0">
      <text>
        <r>
          <rPr>
            <sz val="10"/>
            <rFont val="宋体"/>
            <charset val="134"/>
          </rPr>
          <t>来自登录后的百度指数可见图表提示。本期：2025-11-10 ~ 2025-11-16=466；去年同期：2024-11-04 ~ 2024-11-10=690。图表在该长区间按周显示；本表按每月一条可见周值记录，用于趋势和同比方向判断，不是百度官方“月均指数”。</t>
        </r>
      </text>
    </comment>
    <comment ref="C5" authorId="0">
      <text>
        <r>
          <rPr>
            <sz val="10"/>
            <rFont val="宋体"/>
            <charset val="134"/>
          </rPr>
          <t>来自登录后的百度指数可见图表提示。本期：2025-11-10 ~ 2025-11-16=466；去年同期：2024-11-04 ~ 2024-11-10=690。图表在该长区间按周显示；本表按每月一条可见周值记录，用于趋势和同比方向判断，不是百度官方“月均指数”。</t>
        </r>
      </text>
    </comment>
    <comment ref="B6" authorId="0">
      <text>
        <r>
          <rPr>
            <sz val="10"/>
            <rFont val="宋体"/>
            <charset val="134"/>
          </rPr>
          <t>来自登录后的百度指数可见图表提示。本期：2025-12-08 ~ 2025-12-14=427；去年同期：2024-12-02 ~ 2024-12-08=598。图表在该长区间按周显示；本表按每月一条可见周值记录，用于趋势和同比方向判断，不是百度官方“月均指数”。</t>
        </r>
      </text>
    </comment>
    <comment ref="C6" authorId="0">
      <text>
        <r>
          <rPr>
            <sz val="10"/>
            <rFont val="宋体"/>
            <charset val="134"/>
          </rPr>
          <t>来自登录后的百度指数可见图表提示。本期：2025-12-08 ~ 2025-12-14=427；去年同期：2024-12-02 ~ 2024-12-08=598。图表在该长区间按周显示；本表按每月一条可见周值记录，用于趋势和同比方向判断，不是百度官方“月均指数”。</t>
        </r>
      </text>
    </comment>
    <comment ref="B7" authorId="0">
      <text>
        <r>
          <rPr>
            <sz val="10"/>
            <rFont val="宋体"/>
            <charset val="134"/>
          </rPr>
          <t>来自登录后的百度指数可见图表提示。本期：2026-01-05 ~ 2026-01-11=373；去年同期：2024-12-30 ~ 2025-01-05=595。图表在该长区间按周显示；本表按每月一条可见周值记录，用于趋势和同比方向判断，不是百度官方“月均指数”。</t>
        </r>
      </text>
    </comment>
    <comment ref="C7" authorId="0">
      <text>
        <r>
          <rPr>
            <sz val="10"/>
            <rFont val="宋体"/>
            <charset val="134"/>
          </rPr>
          <t>来自登录后的百度指数可见图表提示。本期：2026-01-05 ~ 2026-01-11=373；去年同期：2024-12-30 ~ 2025-01-05=595。图表在该长区间按周显示；本表按每月一条可见周值记录，用于趋势和同比方向判断，不是百度官方“月均指数”。</t>
        </r>
      </text>
    </comment>
    <comment ref="B8" authorId="0">
      <text>
        <r>
          <rPr>
            <sz val="10"/>
            <rFont val="宋体"/>
            <charset val="134"/>
          </rPr>
          <t>来自登录后的百度指数可见图表提示。本期：2026-02-02 ~ 2026-02-08=350；去年同期：2025-01-27 ~ 2025-02-02=454。图表在该长区间按周显示；本表按每月一条可见周值记录，用于趋势和同比方向判断，不是百度官方“月均指数”。</t>
        </r>
      </text>
    </comment>
    <comment ref="C8" authorId="0">
      <text>
        <r>
          <rPr>
            <sz val="10"/>
            <rFont val="宋体"/>
            <charset val="134"/>
          </rPr>
          <t>来自登录后的百度指数可见图表提示。本期：2026-02-02 ~ 2026-02-08=350；去年同期：2025-01-27 ~ 2025-02-02=454。图表在该长区间按周显示；本表按每月一条可见周值记录，用于趋势和同比方向判断，不是百度官方“月均指数”。</t>
        </r>
      </text>
    </comment>
    <comment ref="B9" authorId="0">
      <text>
        <r>
          <rPr>
            <sz val="10"/>
            <rFont val="宋体"/>
            <charset val="134"/>
          </rPr>
          <t>来自登录后的百度指数可见图表提示。本期：2026-03-02 ~ 2026-03-08=398；去年同期：2025-02-17 ~ 2025-02-23=629。图表在该长区间按周显示；本表按每月一条可见周值记录，用于趋势和同比方向判断，不是百度官方“月均指数”。</t>
        </r>
      </text>
    </comment>
    <comment ref="C9" authorId="0">
      <text>
        <r>
          <rPr>
            <sz val="10"/>
            <rFont val="宋体"/>
            <charset val="134"/>
          </rPr>
          <t>来自登录后的百度指数可见图表提示。本期：2026-03-02 ~ 2026-03-08=398；去年同期：2025-02-17 ~ 2025-02-23=629。图表在该长区间按周显示；本表按每月一条可见周值记录，用于趋势和同比方向判断，不是百度官方“月均指数”。</t>
        </r>
      </text>
    </comment>
    <comment ref="B10" authorId="0">
      <text>
        <r>
          <rPr>
            <sz val="10"/>
            <rFont val="宋体"/>
            <charset val="134"/>
          </rPr>
          <t>来自登录后的百度指数可见图表提示。本期：2026-03-30 ~ 2026-04-05=485；去年同期：2025-04-14 ~ 2025-04-20=722。图表在该长区间按周显示；本表按每月一条可见周值记录，用于趋势和同比方向判断，不是百度官方“月均指数”。</t>
        </r>
      </text>
    </comment>
    <comment ref="C10" authorId="0">
      <text>
        <r>
          <rPr>
            <sz val="10"/>
            <rFont val="宋体"/>
            <charset val="134"/>
          </rPr>
          <t>来自登录后的百度指数可见图表提示。本期：2026-03-30 ~ 2026-04-05=485；去年同期：2025-04-14 ~ 2025-04-20=722。图表在该长区间按周显示；本表按每月一条可见周值记录，用于趋势和同比方向判断，不是百度官方“月均指数”。</t>
        </r>
      </text>
    </comment>
    <comment ref="B11" authorId="0">
      <text>
        <r>
          <rPr>
            <sz val="10"/>
            <rFont val="宋体"/>
            <charset val="134"/>
          </rPr>
          <t>来自登录后的百度指数可见图表提示。本期：2026-04-27 ~ 2026-05-03=390；去年同期：2025-05-12 ~ 2025-05-18=621。图表在该长区间按周显示；本表按每月一条可见周值记录，用于趋势和同比方向判断，不是百度官方“月均指数”。</t>
        </r>
      </text>
    </comment>
    <comment ref="C11" authorId="0">
      <text>
        <r>
          <rPr>
            <sz val="10"/>
            <rFont val="宋体"/>
            <charset val="134"/>
          </rPr>
          <t>来自登录后的百度指数可见图表提示。本期：2026-04-27 ~ 2026-05-03=390；去年同期：2025-05-12 ~ 2025-05-18=621。图表在该长区间按周显示；本表按每月一条可见周值记录，用于趋势和同比方向判断，不是百度官方“月均指数”。</t>
        </r>
      </text>
    </comment>
    <comment ref="B12" authorId="0">
      <text>
        <r>
          <rPr>
            <sz val="10"/>
            <rFont val="宋体"/>
            <charset val="134"/>
          </rPr>
          <t>来自登录后的百度指数可见图表提示。本期：2026-05-25 ~ 2026-05-31=389；去年同期：2025-06-09 ~ 2025-06-15=648。图表在该长区间按周显示；本表按每月一条可见周值记录，用于趋势和同比方向判断，不是百度官方“月均指数”。</t>
        </r>
      </text>
    </comment>
    <comment ref="C12" authorId="0">
      <text>
        <r>
          <rPr>
            <sz val="10"/>
            <rFont val="宋体"/>
            <charset val="134"/>
          </rPr>
          <t>来自登录后的百度指数可见图表提示。本期：2026-05-25 ~ 2026-05-31=389；去年同期：2025-06-09 ~ 2025-06-15=648。图表在该长区间按周显示；本表按每月一条可见周值记录，用于趋势和同比方向判断，不是百度官方“月均指数”。</t>
        </r>
      </text>
    </comment>
    <comment ref="B13" authorId="0">
      <text>
        <r>
          <rPr>
            <sz val="10"/>
            <rFont val="宋体"/>
            <charset val="134"/>
          </rPr>
          <t>来自登录后的百度指数可见图表提示。本期：2026-07-20 ~ 2026-07-26=424；去年同期：2025-07-07 ~ 2025-07-13=577。图表在该长区间按周显示；本表按每月一条可见周值记录，用于趋势和同比方向判断，不是百度官方“月均指数”。</t>
        </r>
      </text>
    </comment>
    <comment ref="C13" authorId="0">
      <text>
        <r>
          <rPr>
            <sz val="10"/>
            <rFont val="宋体"/>
            <charset val="134"/>
          </rPr>
          <t>来自登录后的百度指数可见图表提示。本期：2026-07-20 ~ 2026-07-26=424；去年同期：2025-07-07 ~ 2025-07-13=577。图表在该长区间按周显示；本表按每月一条可见周值记录，用于趋势和同比方向判断，不是百度官方“月均指数”。</t>
        </r>
      </text>
    </comment>
    <comment ref="B14" authorId="0">
      <text>
        <r>
          <rPr>
            <sz val="10"/>
            <rFont val="宋体"/>
            <charset val="134"/>
          </rPr>
          <t>来自登录后的百度指数可见图表提示。本期：2026-08-17 ~ 2026-08-23=365；去年同期：2025-08-04 ~ 2025-08-10=519。图表在该长区间按周显示；本表按每月一条可见周值记录，用于趋势和同比方向判断，不是百度官方“月均指数”。</t>
        </r>
      </text>
    </comment>
    <comment ref="C14" authorId="0">
      <text>
        <r>
          <rPr>
            <sz val="10"/>
            <rFont val="宋体"/>
            <charset val="134"/>
          </rPr>
          <t>来自登录后的百度指数可见图表提示。本期：2026-08-17 ~ 2026-08-23=365；去年同期：2025-08-04 ~ 2025-08-10=519。图表在该长区间按周显示；本表按每月一条可见周值记录，用于趋势和同比方向判断，不是百度官方“月均指数”。</t>
        </r>
      </text>
    </comment>
  </commentList>
</comments>
</file>

<file path=xl/sharedStrings.xml><?xml version="1.0" encoding="utf-8"?>
<sst xmlns="http://schemas.openxmlformats.org/spreadsheetml/2006/main" count="442" uniqueCount="271">
  <si>
    <t>大学生哑铃市场分析：数据、公式与待补采集项</t>
  </si>
  <si>
    <t>文件状态</t>
  </si>
  <si>
    <t>查询/制作日期</t>
  </si>
  <si>
    <t>核心用途</t>
  </si>
  <si>
    <t>已完成数据</t>
  </si>
  <si>
    <t>待补数据</t>
  </si>
  <si>
    <t>填写说明</t>
  </si>
  <si>
    <t>工作底稿</t>
  </si>
  <si>
    <t>2026-09-10</t>
  </si>
  <si>
    <t>支撑课堂汇报、市场规模计算、红蓝海判断</t>
  </si>
  <si>
    <t>教育部在校生、国家体育总局产业数据、淘宝销量排序TOP10样本</t>
  </si>
  <si>
    <t>生意参谋前500、百度指数月度数据、学生问卷购买意愿</t>
  </si>
  <si>
    <t>黄色底且蓝色文字为需用户填写的输入项；黑色文字为公式结果。</t>
  </si>
  <si>
    <t>课程口径</t>
  </si>
  <si>
    <t>线下市场规模 = 潜在客户数量 × 购买意愿 × 客单价。</t>
  </si>
  <si>
    <t>线上市场口径</t>
  </si>
  <si>
    <t>淘宝销量排序TOP10样本的可见销量下限 + 生意参谋市场大盘前500品牌成交规模。</t>
  </si>
  <si>
    <t>数据使用警告</t>
  </si>
  <si>
    <t>淘宝“人收货”不等同于严格的30天销量。所有“+”号均按下限处理；未展示具体量的商品不纳入销量汇总。</t>
  </si>
  <si>
    <t>默认产品边界</t>
  </si>
  <si>
    <t>已确认：2-20kg宿舍友好型可调节哑铃套装，静音包胶、可收纳、渐进配重；主推价59元，价格带49-69元。</t>
  </si>
  <si>
    <t>淘宝：可调节 哑铃 宿舍 - 销量排序TOP10商品样本</t>
  </si>
  <si>
    <t>查询关键词</t>
  </si>
  <si>
    <t>可调节 哑铃 宿舍</t>
  </si>
  <si>
    <t>查询日期</t>
  </si>
  <si>
    <t>排序方式</t>
  </si>
  <si>
    <t>销量</t>
  </si>
  <si>
    <t>说明</t>
  </si>
  <si>
    <t>第1、4、8名仅显示“本月行业热销/行业销量前20”等标签，未显示具体收货数，因此按0纳入下限合计。</t>
  </si>
  <si>
    <t>排序</t>
  </si>
  <si>
    <t>商品名称</t>
  </si>
  <si>
    <t>竞品店铺</t>
  </si>
  <si>
    <t>展示价格（元）</t>
  </si>
  <si>
    <t>榜单/标签</t>
  </si>
  <si>
    <t>页面销量信息</t>
  </si>
  <si>
    <t>销量下限（人）</t>
  </si>
  <si>
    <t>样本GMV下限（元）</t>
  </si>
  <si>
    <t>处理说明</t>
  </si>
  <si>
    <t>数据来源</t>
  </si>
  <si>
    <t>佑美哑铃男士健身家用锻炼器材可调节重量男杠铃运动套装壶铃宿舍</t>
  </si>
  <si>
    <t>Umay佑美旗舰店</t>
  </si>
  <si>
    <t/>
  </si>
  <si>
    <t>本月行业热销</t>
  </si>
  <si>
    <t>平台未展示具体人收货数，不计入保守下限</t>
  </si>
  <si>
    <t>淘宝搜索页，关键词“可调节 哑铃 宿舍”，销量排序，2026-09-10</t>
  </si>
  <si>
    <t>佑美哑铃男士健身家用锻炼器材可调节重量男杠铃健身器材壶铃宿舍</t>
  </si>
  <si>
    <t>可调节哑铃热卖榜第1名</t>
  </si>
  <si>
    <t>4000+人收货</t>
  </si>
  <si>
    <t>以“4000+”的下限4000计</t>
  </si>
  <si>
    <t>裕迅哑铃男士健身家用可调节重量20kg一对男宿舍杠壶铃练组合套装</t>
  </si>
  <si>
    <t>裕迅旗舰店</t>
  </si>
  <si>
    <t>可调节健身哑铃热销榜第3名</t>
  </si>
  <si>
    <t>3000+人收货</t>
  </si>
  <si>
    <t>以“3000+”的下限3000计</t>
  </si>
  <si>
    <t>朗威哑铃男士健身家用可调节重量器材杠铃力量训练套装壶铃哑铃架</t>
  </si>
  <si>
    <t>朗威旗舰店</t>
  </si>
  <si>
    <t>哑铃男士健身家用可调节重量10kg20kg一对男学生宿舍杠铃组合套装</t>
  </si>
  <si>
    <t>超森健身</t>
  </si>
  <si>
    <t>2000+人收货</t>
  </si>
  <si>
    <t>以“2000+”的下限2000计</t>
  </si>
  <si>
    <t>哑铃男士健身家用可调节重量20kg一对男生宿舍杠壶铃锻炼组合套装</t>
  </si>
  <si>
    <t>哑铃男士健身家用器材可调节重量青少年杠铃壶铃学生宿舍组合套装</t>
  </si>
  <si>
    <t>多珂星旗舰店</t>
  </si>
  <si>
    <t>可调节健身哑铃热销榜第7名</t>
  </si>
  <si>
    <t>1000+人收货</t>
  </si>
  <si>
    <t>以“1000+”的下限1000计</t>
  </si>
  <si>
    <t>哑铃男士健身器材家用杠铃可调节重量青少年10公斤一对亚哑铃套装</t>
  </si>
  <si>
    <t>品健运动旗舰店</t>
  </si>
  <si>
    <t>可调节哑铃热卖榜第2名；行业销量前20</t>
  </si>
  <si>
    <t>裕迅哑铃男士健身家用可调节重量20kg一对男宿舍杠铃壶铃组合套装</t>
  </si>
  <si>
    <t>入选可调节健身哑铃热销榜</t>
  </si>
  <si>
    <t>哑铃男士健身锻炼器材家用可调节重量亚铃男杠铃运动套装壶铃宿舍</t>
  </si>
  <si>
    <t>900+人收货</t>
  </si>
  <si>
    <t>以“900+”的下限900计</t>
  </si>
  <si>
    <t>合计/统计</t>
  </si>
  <si>
    <t>平均展示价格</t>
  </si>
  <si>
    <t>中位展示价格</t>
  </si>
  <si>
    <t>可见销量样本数</t>
  </si>
  <si>
    <t>生意参谋：哑铃类目交易总量TOP10（7天可见样本）</t>
  </si>
  <si>
    <t>运动/瑜伽/健身/球迷用品 &gt; 健身训练器材 &gt; 哑铃</t>
  </si>
  <si>
    <t>2026-09-03 至 2026-09-09</t>
  </si>
  <si>
    <t>交易总量</t>
  </si>
  <si>
    <t>每页10条、页面显示30页；至少可见TOP300商品。当前仅记录第一页TOP10。</t>
  </si>
  <si>
    <t>重要限制</t>
  </si>
  <si>
    <t>支付买家数为区间；不等于销量，也不是成交额。当前为7天商品TOP10，不能替代近30天行业前500品牌成交额。</t>
  </si>
  <si>
    <t>排名</t>
  </si>
  <si>
    <t>商品</t>
  </si>
  <si>
    <t>商品关键词</t>
  </si>
  <si>
    <t>店铺</t>
  </si>
  <si>
    <t>支付买家数下限</t>
  </si>
  <si>
    <t>支付买家数上限</t>
  </si>
  <si>
    <t>访客数下限</t>
  </si>
  <si>
    <t>访客数上限</t>
  </si>
  <si>
    <t>排行变化</t>
  </si>
  <si>
    <t>Keep哑铃女士健身家用男士力量训练器材锻炼初学者练臂肌亚铃一对</t>
  </si>
  <si>
    <t>女士 / 健身 / 家用</t>
  </si>
  <si>
    <t>Keep官方旗舰店</t>
  </si>
  <si>
    <t>持平</t>
  </si>
  <si>
    <t>健身 / 家用 / 男士</t>
  </si>
  <si>
    <t>朗威哑铃女士健身家用器材儿童小重量2kg一对男士青少年组合套装</t>
  </si>
  <si>
    <t>哑铃健身男士家用六角5kg一对6公斤器材锻炼包胶亚铃女士青少年</t>
  </si>
  <si>
    <t>艾美仕运动旗舰店</t>
  </si>
  <si>
    <t>升2名</t>
  </si>
  <si>
    <t>Keep软壶铃女士健身家用课程同款哑铃男士运动塑形深蹲提壶器材</t>
  </si>
  <si>
    <t>健身 / 家用 / 女士</t>
  </si>
  <si>
    <t>降2名</t>
  </si>
  <si>
    <t>【芭芭农场】1kg哑铃一对</t>
  </si>
  <si>
    <t>农场 / 一对 / 瑜伽</t>
  </si>
  <si>
    <t>潮达商贸企业店</t>
  </si>
  <si>
    <t>Keep哑铃健身男女家用锻炼运动器械哑铃实心铸铁宿舍亚铃10kg一对</t>
  </si>
  <si>
    <t>健身 / 男士 / 家用</t>
  </si>
  <si>
    <t>迪卡侬哑铃女士健身家用男士一对居家健身器材训练铸铁小哑铃RFJ3</t>
  </si>
  <si>
    <t>迪卡侬旗舰店</t>
  </si>
  <si>
    <t>升3名</t>
  </si>
  <si>
    <t>合计</t>
  </si>
  <si>
    <t>生意参谋：哑铃类目店铺交易总量TOP10（近30天）</t>
  </si>
  <si>
    <t>2026-08-11 至 2026-09-09</t>
  </si>
  <si>
    <t>交易总量（店铺）</t>
  </si>
  <si>
    <t>每页10条、页面显示30页；至少可见TOP300店铺。当前仅记录第一页TOP10。</t>
  </si>
  <si>
    <t>支付金额仅显示排名、未显示数值；不可计算前500品牌成交额。访客数为区间。</t>
  </si>
  <si>
    <t>支付金额排名</t>
  </si>
  <si>
    <t>在售商品数量</t>
  </si>
  <si>
    <t>proiron运动旗舰店</t>
  </si>
  <si>
    <t>升1名</t>
  </si>
  <si>
    <t>cardlosjohan旗舰店</t>
  </si>
  <si>
    <t>降1名</t>
  </si>
  <si>
    <t>YOTTOY官方旗舰店</t>
  </si>
  <si>
    <t>升7名</t>
  </si>
  <si>
    <t>大学生哑铃市场规模计算（情景法与平台数据口径）</t>
  </si>
  <si>
    <t>模块</t>
  </si>
  <si>
    <t>指标/输入</t>
  </si>
  <si>
    <t>数值</t>
  </si>
  <si>
    <t>单位</t>
  </si>
  <si>
    <t>计算或来源</t>
  </si>
  <si>
    <t>可否替换</t>
  </si>
  <si>
    <t>备注</t>
  </si>
  <si>
    <t>线下市场</t>
  </si>
  <si>
    <t>全国普通、职业本专科在校生</t>
  </si>
  <si>
    <t>人</t>
  </si>
  <si>
    <t>教育部《2024年全国教育事业发展统计公报》</t>
  </si>
  <si>
    <t>否</t>
  </si>
  <si>
    <t>不含研究生、成人教育和网络教育</t>
  </si>
  <si>
    <t>低情景购买意愿</t>
  </si>
  <si>
    <t>%</t>
  </si>
  <si>
    <t>情景假设，需用学生问卷替换</t>
  </si>
  <si>
    <t>是</t>
  </si>
  <si>
    <t>保守情景</t>
  </si>
  <si>
    <t>基准情景购买意愿</t>
  </si>
  <si>
    <t>仅作估算，非调研结论</t>
  </si>
  <si>
    <t>高情景购买意愿</t>
  </si>
  <si>
    <t>乐观情景</t>
  </si>
  <si>
    <t>主推客单价（小组确认）</t>
  </si>
  <si>
    <t>元/套</t>
  </si>
  <si>
    <t>小组确认，2026-09-10</t>
  </si>
  <si>
    <t>59元为主推价；淘宝TOP10均价40.33元仅作竞品价格参照。</t>
  </si>
  <si>
    <t>低情景市场规模</t>
  </si>
  <si>
    <t>元</t>
  </si>
  <si>
    <t>潜在客户数 × 购买意愿 × 客单价</t>
  </si>
  <si>
    <t>自动</t>
  </si>
  <si>
    <t>一人一次购买的年度机会值</t>
  </si>
  <si>
    <t>基准情景市场规模</t>
  </si>
  <si>
    <t>高情景市场规模</t>
  </si>
  <si>
    <t>线上市场</t>
  </si>
  <si>
    <t>淘宝TOP10可见销量下限</t>
  </si>
  <si>
    <t>人/件</t>
  </si>
  <si>
    <t>销量排序页可见“人收货”下限</t>
  </si>
  <si>
    <t>不是全行业销量</t>
  </si>
  <si>
    <t>淘宝TOP10样本GMV下限</t>
  </si>
  <si>
    <t>展示价格 × 可见销量下限</t>
  </si>
  <si>
    <t>不含未显示具体销量的商品</t>
  </si>
  <si>
    <t>生意参谋前500品牌近30天成交额</t>
  </si>
  <si>
    <t>需用户登录生意参谋市场大盘后录入</t>
  </si>
  <si>
    <t>课程要求的行业市场大盘口径</t>
  </si>
  <si>
    <t>行业市场规模（采用生意参谋）</t>
  </si>
  <si>
    <t>优先采用生意参谋前500汇总值</t>
  </si>
  <si>
    <t>待C13录入；不能用淘宝TOP10样本替代</t>
  </si>
  <si>
    <t>市场判定（课堂口径）</t>
  </si>
  <si>
    <t>电商市场规模10亿元以上为大市场；1000万元至10亿元为中型市场；1000万元以下为小市场。</t>
  </si>
  <si>
    <t>百度指数：哑铃 - 12个月可见周值趋势代理与增长判断</t>
  </si>
  <si>
    <t>月份（趋势代理）</t>
  </si>
  <si>
    <t>本期可见周值</t>
  </si>
  <si>
    <t>去年同期可见周值</t>
  </si>
  <si>
    <t>同比增速</t>
  </si>
  <si>
    <t>上期可见周值</t>
  </si>
  <si>
    <t>环比增速</t>
  </si>
  <si>
    <t>可复核周区间与口径</t>
  </si>
  <si>
    <t>2025-09</t>
  </si>
  <si>
    <t>百度指数，关键词“哑铃”，全国、PC+移动；查询日2026-09-10，图表区间2024-09-01 ~ 2026-08-31</t>
  </si>
  <si>
    <t>本期：2025-09-08 ~ 2025-09-14（500）；去年同期：2024-09-09 ~ 2024-09-15（693）。图表在该长区间按周显示；本表按每月一条可见周值记录，用于趋势和同比方向判断，不是百度官方“月均指数”。</t>
  </si>
  <si>
    <t>2025-10</t>
  </si>
  <si>
    <t>本期：2025-10-13 ~ 2025-10-19（517）；去年同期：2024-10-07 ~ 2024-10-13（692）。图表在该长区间按周显示；本表按每月一条可见周值记录，用于趋势和同比方向判断，不是百度官方“月均指数”。</t>
  </si>
  <si>
    <t>2025-11</t>
  </si>
  <si>
    <t>本期：2025-11-10 ~ 2025-11-16（466）；去年同期：2024-11-04 ~ 2024-11-10（690）。图表在该长区间按周显示；本表按每月一条可见周值记录，用于趋势和同比方向判断，不是百度官方“月均指数”。</t>
  </si>
  <si>
    <t>2025-12</t>
  </si>
  <si>
    <t>本期：2025-12-08 ~ 2025-12-14（427）；去年同期：2024-12-02 ~ 2024-12-08（598）。图表在该长区间按周显示；本表按每月一条可见周值记录，用于趋势和同比方向判断，不是百度官方“月均指数”。</t>
  </si>
  <si>
    <t>2026-01</t>
  </si>
  <si>
    <t>本期：2026-01-05 ~ 2026-01-11（373）；去年同期：2024-12-30 ~ 2025-01-05（595）。图表在该长区间按周显示；本表按每月一条可见周值记录，用于趋势和同比方向判断，不是百度官方“月均指数”。</t>
  </si>
  <si>
    <t>2026-02</t>
  </si>
  <si>
    <t>本期：2026-02-02 ~ 2026-02-08（350）；去年同期：2025-01-27 ~ 2025-02-02（454）。图表在该长区间按周显示；本表按每月一条可见周值记录，用于趋势和同比方向判断，不是百度官方“月均指数”。</t>
  </si>
  <si>
    <t>2026-03</t>
  </si>
  <si>
    <t>本期：2026-03-02 ~ 2026-03-08（398）；去年同期：2025-02-17 ~ 2025-02-23（629）。图表在该长区间按周显示；本表按每月一条可见周值记录，用于趋势和同比方向判断，不是百度官方“月均指数”。</t>
  </si>
  <si>
    <t>2026-04</t>
  </si>
  <si>
    <t>本期：2026-03-30 ~ 2026-04-05（485）；去年同期：2025-04-14 ~ 2025-04-20（722）。图表在该长区间按周显示；本表按每月一条可见周值记录，用于趋势和同比方向判断，不是百度官方“月均指数”。</t>
  </si>
  <si>
    <t>2026-05</t>
  </si>
  <si>
    <t>本期：2026-04-27 ~ 2026-05-03（390）；去年同期：2025-05-12 ~ 2025-05-18（621）。图表在该长区间按周显示；本表按每月一条可见周值记录，用于趋势和同比方向判断，不是百度官方“月均指数”。</t>
  </si>
  <si>
    <t>2026-06</t>
  </si>
  <si>
    <t>本期：2026-05-25 ~ 2026-05-31（389）；去年同期：2025-06-09 ~ 2025-06-15（648）。图表在该长区间按周显示；本表按每月一条可见周值记录，用于趋势和同比方向判断，不是百度官方“月均指数”。</t>
  </si>
  <si>
    <t>2026-07</t>
  </si>
  <si>
    <t>本期：2026-07-20 ~ 2026-07-26（424）；去年同期：2025-07-07 ~ 2025-07-13（577）。图表在该长区间按周显示；本表按每月一条可见周值记录，用于趋势和同比方向判断，不是百度官方“月均指数”。</t>
  </si>
  <si>
    <t>2026-08</t>
  </si>
  <si>
    <t>本期：2026-08-17 ~ 2026-08-23（365）；去年同期：2025-08-04 ~ 2025-08-10（519）。图表在该长区间按周显示；本表按每月一条可见周值记录，用于趋势和同比方向判断，不是百度官方“月均指数”。</t>
  </si>
  <si>
    <t>行业生命周期判定规则（按课堂图示）</t>
  </si>
  <si>
    <t>增长率 &lt; -10%：衰退期；-10% 至 10%：成熟期；增长率 &gt; 10%：成长期。本表12条均为可见周值趋势代理，须结合供给、竞争和季节性判断。</t>
  </si>
  <si>
    <t>已核验百度指数概览</t>
  </si>
  <si>
    <t>查询范围</t>
  </si>
  <si>
    <t>整体日均值</t>
  </si>
  <si>
    <t>移动日均值</t>
  </si>
  <si>
    <t>整体同比</t>
  </si>
  <si>
    <t>整体环比</t>
  </si>
  <si>
    <t>使用限制</t>
  </si>
  <si>
    <t>2026-08-11 ~ 2026-09-09</t>
  </si>
  <si>
    <t>百度指数，关键词“哑铃”，全国、PC+移动，查询日2026-09-10</t>
  </si>
  <si>
    <t>30天短期搜索需求信号，不能单独用于判定全行业衰退。</t>
  </si>
  <si>
    <t>2024-09-01 ~ 2026-08-31（自定义）</t>
  </si>
  <si>
    <t>两年区间整体日均值；本表上方12条为周粒度趋势代理，可用于观察连续同比下行，不能表述为月均指数。</t>
  </si>
  <si>
    <t>数据来源、取数口径与证据等级</t>
  </si>
  <si>
    <t>编号</t>
  </si>
  <si>
    <t>来源</t>
  </si>
  <si>
    <t>日期</t>
  </si>
  <si>
    <t>可用数据</t>
  </si>
  <si>
    <t>证据等级</t>
  </si>
  <si>
    <t>2025-06-11</t>
  </si>
  <si>
    <t>全国普通、职业本专科在校生3891.26万人；普通本科2085.91万人；高职1764.66万人</t>
  </si>
  <si>
    <t>一级：政府统计</t>
  </si>
  <si>
    <t>用于潜在客户基数，不代表购买者。</t>
  </si>
  <si>
    <t>国家体育总局、国家统计局《2024年全国体育产业总规模与增加值数据公告》</t>
  </si>
  <si>
    <t>2025-12-31</t>
  </si>
  <si>
    <t>体育产业总产出38421亿元；体育用品及相关产品制造增加值4245亿元</t>
  </si>
  <si>
    <t>用于宏观行业背景，不可直接当作哑铃市场规模。</t>
  </si>
  <si>
    <t>淘宝搜索页</t>
  </si>
  <si>
    <t>关键词“可调节 哑铃 宿舍”，销量排序；TOP10商品价格、店铺、销量文本</t>
  </si>
  <si>
    <t>一级：平台一手页面</t>
  </si>
  <si>
    <t>“人收货”含“+”号且未明确30天口径；只能作为保守样本下限。</t>
  </si>
  <si>
    <t>生意参谋市场大盘</t>
  </si>
  <si>
    <t>已登录有店铺权限账号；市场排行默认类目榜单返回“数据加载错误”，待恢复后取哑铃叶子类目近30天前500品牌数据</t>
  </si>
  <si>
    <t>一级：平台一手数据</t>
  </si>
  <si>
    <t>账号可进入市场模块，但平台榜单暂未正常返回数据；不可用淘宝TOP10样本替代前500行业大盘。</t>
  </si>
  <si>
    <t>百度指数</t>
  </si>
  <si>
    <t>2026-09-10查询</t>
  </si>
  <si>
    <t>关键词“哑铃”，全国、PC+移动、2026-08-11至2026-09-09：整体日均值361、同比-29%、环比-8%</t>
  </si>
  <si>
    <t>当前已确认近30天概览；如需年度生命周期曲线，仍需补录至少12个月月度数据。</t>
  </si>
  <si>
    <t>本校/本地大学生问卷</t>
  </si>
  <si>
    <t>待补</t>
  </si>
  <si>
    <t>购买意愿、预算、居住条件、重量偏好、品牌偏好</t>
  </si>
  <si>
    <t>一级：一手调研</t>
  </si>
  <si>
    <t>建议有效样本不少于30份，并与目标客群对应。</t>
  </si>
  <si>
    <t>国家体育总局：《中国体育用品业年度发展报告（2024）》趋势解读</t>
  </si>
  <si>
    <t>2025-05-22</t>
  </si>
  <si>
    <t>2024年全国体育用品电商销售额3337.45亿元；其中健身器材销售额161.06亿元</t>
  </si>
  <si>
    <t>二级：行业协会年度报告，官方转载</t>
  </si>
  <si>
    <t>仅作健身器材大类线上市场背景，不能直接替代哑铃或宿舍哑铃的市场规模。</t>
  </si>
  <si>
    <t>国家体育总局：《中国体育用品业年度发展报告（2025）》</t>
  </si>
  <si>
    <t>2026-05-21</t>
  </si>
  <si>
    <t>报告称健身器材在2024年高速增长后，2025年小幅回调、呈震荡态势</t>
  </si>
  <si>
    <t>仅用于解释大类趋势分化，哑铃细分仍以淘宝和生意参谋数据为准。</t>
  </si>
  <si>
    <t>生意参谋市场排行</t>
  </si>
  <si>
    <t>运动/瑜伽/健身/球迷用品 &gt; 健身训练器材 &gt; 哑铃；2026-09-03至2026-09-09交易总量TOP10商品，支付买家数和访客数区间</t>
  </si>
  <si>
    <t>一线：平台一手数据</t>
  </si>
  <si>
    <t>当前为7天商品TOP10可见样本；支付买家数为区间，不可替代近30天前500品牌成交额。</t>
  </si>
  <si>
    <t>哑铃类目2026-08-11至2026-09-09交易总量TOP10店铺：支付金额排名、访客数区间、在售商品数量</t>
  </si>
  <si>
    <t>仅有支付金额排名，没有金额值；可用于头部店铺与流量集中度分析，不能替代前500品牌成交额。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</si>
</sst>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7">
    <font>
      <sz val="11"/>
      <color theme="1"/>
      <name val="宋体"/>
      <charset val="134"/>
      <scheme val="minor"/>
    </font>
    <font>
      <b/>
      <sz val="15"/>
      <color rgb="FFFFFFFF"/>
      <name val="Arial"/>
      <charset val="134"/>
    </font>
    <font>
      <b/>
      <sz val="11"/>
      <color rgb="FFFFFFFF"/>
      <name val="Arial"/>
      <charset val="134"/>
    </font>
    <font>
      <sz val="11"/>
      <name val="Arial"/>
      <charset val="134"/>
    </font>
    <font>
      <sz val="11"/>
      <color rgb="FF0000FF"/>
      <name val="Arial"/>
      <charset val="134"/>
    </font>
    <font>
      <b/>
      <sz val="1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5">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3" fontId="4" fillId="3" borderId="1" xfId="0" applyNumberFormat="1" applyFont="1" applyFill="1" applyBorder="1" applyAlignment="1">
      <alignment vertical="top" wrapText="1"/>
    </xf>
    <xf numFmtId="176" fontId="3" fillId="0" borderId="1" xfId="0" applyNumberFormat="1" applyFont="1" applyBorder="1" applyAlignment="1">
      <alignment vertical="top" wrapText="1"/>
    </xf>
    <xf numFmtId="0" fontId="3" fillId="3" borderId="1" xfId="0" applyFont="1" applyFill="1" applyBorder="1" applyAlignment="1">
      <alignment vertical="top" wrapText="1"/>
    </xf>
    <xf numFmtId="0" fontId="5" fillId="0" borderId="0" xfId="0" applyFont="1"/>
    <xf numFmtId="0" fontId="0" fillId="0" borderId="0" xfId="0" applyAlignment="1">
      <alignment wrapText="1"/>
    </xf>
    <xf numFmtId="0" fontId="5" fillId="4" borderId="1" xfId="0" applyFont="1" applyFill="1" applyBorder="1" applyAlignment="1">
      <alignment horizontal="center" vertical="center" wrapText="1"/>
    </xf>
    <xf numFmtId="0" fontId="4" fillId="0" borderId="1" xfId="0" applyFont="1" applyBorder="1" applyAlignment="1">
      <alignment vertical="top" wrapText="1"/>
    </xf>
    <xf numFmtId="176" fontId="4" fillId="3" borderId="1" xfId="0" applyNumberFormat="1" applyFont="1" applyFill="1" applyBorder="1" applyAlignment="1">
      <alignment vertical="top" wrapText="1"/>
    </xf>
    <xf numFmtId="2" fontId="4" fillId="3" borderId="1" xfId="0" applyNumberFormat="1" applyFont="1" applyFill="1" applyBorder="1" applyAlignment="1">
      <alignment vertical="top" wrapText="1"/>
    </xf>
    <xf numFmtId="4" fontId="3" fillId="0" borderId="1" xfId="0" applyNumberFormat="1" applyFont="1" applyBorder="1" applyAlignment="1">
      <alignment vertical="top" wrapText="1"/>
    </xf>
    <xf numFmtId="4" fontId="4" fillId="3" borderId="1" xfId="0" applyNumberFormat="1" applyFont="1" applyFill="1" applyBorder="1" applyAlignment="1">
      <alignment vertical="top" wrapText="1"/>
    </xf>
    <xf numFmtId="0" fontId="5" fillId="0" borderId="0" xfId="0" applyFont="1" applyAlignment="1">
      <alignment vertical="top" wrapText="1"/>
    </xf>
    <xf numFmtId="0" fontId="0" fillId="0" borderId="0" xfId="0" applyAlignment="1">
      <alignment vertical="top" wrapText="1"/>
    </xf>
    <xf numFmtId="3" fontId="3" fillId="0" borderId="1" xfId="0" applyNumberFormat="1" applyFont="1" applyBorder="1" applyAlignment="1">
      <alignment vertical="top" wrapText="1"/>
    </xf>
    <xf numFmtId="0" fontId="5" fillId="4" borderId="1" xfId="0" applyFont="1" applyFill="1" applyBorder="1" applyAlignment="1">
      <alignment vertical="top" wrapText="1"/>
    </xf>
    <xf numFmtId="3" fontId="5" fillId="4" borderId="1" xfId="0" applyNumberFormat="1" applyFont="1" applyFill="1" applyBorder="1" applyAlignment="1">
      <alignment vertical="top" wrapText="1"/>
    </xf>
    <xf numFmtId="0" fontId="3" fillId="0" borderId="0" xfId="0" applyFont="1" applyAlignment="1">
      <alignment vertical="top" wrapText="1"/>
    </xf>
    <xf numFmtId="2" fontId="3" fillId="0" borderId="1" xfId="0" applyNumberFormat="1" applyFont="1" applyBorder="1" applyAlignment="1">
      <alignment vertical="top" wrapText="1"/>
    </xf>
    <xf numFmtId="0" fontId="3" fillId="4" borderId="1" xfId="0" applyFont="1" applyFill="1" applyBorder="1" applyAlignment="1">
      <alignment vertical="top" wrapText="1"/>
    </xf>
    <xf numFmtId="3" fontId="3" fillId="4" borderId="1" xfId="0" applyNumberFormat="1" applyFont="1" applyFill="1" applyBorder="1" applyAlignment="1">
      <alignment vertical="top" wrapText="1"/>
    </xf>
    <xf numFmtId="4" fontId="3" fillId="4" borderId="1" xfId="0" applyNumberFormat="1"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showGridLines="0" workbookViewId="0">
      <pane ySplit="2" topLeftCell="A3" activePane="bottomLeft" state="frozen"/>
      <selection/>
      <selection pane="bottomLeft" activeCell="D19" sqref="D19"/>
    </sheetView>
  </sheetViews>
  <sheetFormatPr defaultColWidth="9" defaultRowHeight="14" outlineLevelRow="7" outlineLevelCol="5"/>
  <cols>
    <col min="1" max="1" width="18" customWidth="1"/>
    <col min="2" max="2" width="20" customWidth="1"/>
    <col min="3" max="3" width="28" customWidth="1"/>
    <col min="4" max="4" width="34" customWidth="1"/>
    <col min="5" max="5" width="32" customWidth="1"/>
    <col min="6" max="6" width="34" customWidth="1"/>
  </cols>
  <sheetData>
    <row r="1" ht="26" customHeight="1" spans="1:1">
      <c r="A1" s="1" t="s">
        <v>0</v>
      </c>
    </row>
    <row r="2" spans="1:6">
      <c r="A2" s="2" t="s">
        <v>1</v>
      </c>
      <c r="B2" s="2" t="s">
        <v>2</v>
      </c>
      <c r="C2" s="2" t="s">
        <v>3</v>
      </c>
      <c r="D2" s="2" t="s">
        <v>4</v>
      </c>
      <c r="E2" s="2" t="s">
        <v>5</v>
      </c>
      <c r="F2" s="2" t="s">
        <v>6</v>
      </c>
    </row>
    <row r="3" ht="28" spans="1:6">
      <c r="A3" s="3" t="s">
        <v>7</v>
      </c>
      <c r="B3" s="3" t="s">
        <v>8</v>
      </c>
      <c r="C3" s="3" t="s">
        <v>9</v>
      </c>
      <c r="D3" s="3" t="s">
        <v>10</v>
      </c>
      <c r="E3" s="3" t="s">
        <v>11</v>
      </c>
      <c r="F3" s="3" t="s">
        <v>12</v>
      </c>
    </row>
    <row r="5" spans="1:2">
      <c r="A5" s="7" t="s">
        <v>13</v>
      </c>
      <c r="B5" s="16" t="s">
        <v>14</v>
      </c>
    </row>
    <row r="6" spans="1:2">
      <c r="A6" s="7" t="s">
        <v>15</v>
      </c>
      <c r="B6" s="16" t="s">
        <v>16</v>
      </c>
    </row>
    <row r="7" spans="1:2">
      <c r="A7" s="7" t="s">
        <v>17</v>
      </c>
      <c r="B7" s="16" t="s">
        <v>18</v>
      </c>
    </row>
    <row r="8" spans="1:2">
      <c r="A8" s="7" t="s">
        <v>19</v>
      </c>
      <c r="B8" s="16" t="s">
        <v>20</v>
      </c>
    </row>
  </sheetData>
  <mergeCells count="5">
    <mergeCell ref="A1:F1"/>
    <mergeCell ref="B5:F5"/>
    <mergeCell ref="B6:F6"/>
    <mergeCell ref="B7:F7"/>
    <mergeCell ref="B8:F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showGridLines="0" tabSelected="1" workbookViewId="0">
      <pane ySplit="4" topLeftCell="A5" activePane="bottomLeft" state="frozen"/>
      <selection/>
      <selection pane="bottomLeft" activeCell="I17" sqref="I17"/>
    </sheetView>
  </sheetViews>
  <sheetFormatPr defaultColWidth="9" defaultRowHeight="14"/>
  <cols>
    <col min="1" max="1" width="8" customWidth="1"/>
    <col min="2" max="2" width="52" customWidth="1"/>
    <col min="3" max="3" width="20" customWidth="1"/>
    <col min="4" max="4" width="16" customWidth="1"/>
    <col min="5" max="5" width="26" customWidth="1"/>
    <col min="6" max="7" width="18" customWidth="1"/>
    <col min="8" max="8" width="21" customWidth="1"/>
    <col min="9" max="9" width="34" customWidth="1"/>
    <col min="10" max="10" width="40" customWidth="1"/>
  </cols>
  <sheetData>
    <row r="1" ht="26" customHeight="1" spans="1:1">
      <c r="A1" s="1" t="s">
        <v>21</v>
      </c>
    </row>
    <row r="2" spans="1:8">
      <c r="A2" s="7" t="s">
        <v>22</v>
      </c>
      <c r="B2" s="16" t="s">
        <v>23</v>
      </c>
      <c r="D2" s="7" t="s">
        <v>24</v>
      </c>
      <c r="E2" s="16" t="s">
        <v>8</v>
      </c>
      <c r="G2" s="7" t="s">
        <v>25</v>
      </c>
      <c r="H2" s="16" t="s">
        <v>26</v>
      </c>
    </row>
    <row r="3" spans="1:2">
      <c r="A3" s="7" t="s">
        <v>27</v>
      </c>
      <c r="B3" s="16" t="s">
        <v>28</v>
      </c>
    </row>
    <row r="4" spans="1:10">
      <c r="A4" s="2" t="s">
        <v>29</v>
      </c>
      <c r="B4" s="2" t="s">
        <v>30</v>
      </c>
      <c r="C4" s="2" t="s">
        <v>31</v>
      </c>
      <c r="D4" s="2" t="s">
        <v>32</v>
      </c>
      <c r="E4" s="2" t="s">
        <v>33</v>
      </c>
      <c r="F4" s="2" t="s">
        <v>34</v>
      </c>
      <c r="G4" s="2" t="s">
        <v>35</v>
      </c>
      <c r="H4" s="2" t="s">
        <v>36</v>
      </c>
      <c r="I4" s="2" t="s">
        <v>37</v>
      </c>
      <c r="J4" s="2" t="s">
        <v>38</v>
      </c>
    </row>
    <row r="5" ht="28" spans="1:10">
      <c r="A5" s="3">
        <v>1</v>
      </c>
      <c r="B5" s="3" t="s">
        <v>39</v>
      </c>
      <c r="C5" s="3" t="s">
        <v>40</v>
      </c>
      <c r="D5" s="21">
        <v>53.75</v>
      </c>
      <c r="E5" s="3" t="s">
        <v>41</v>
      </c>
      <c r="F5" s="3" t="s">
        <v>42</v>
      </c>
      <c r="G5" s="3">
        <v>0</v>
      </c>
      <c r="H5" s="13">
        <f t="shared" ref="H5:H14" si="0">D5*G5</f>
        <v>0</v>
      </c>
      <c r="I5" s="3" t="s">
        <v>43</v>
      </c>
      <c r="J5" s="3" t="s">
        <v>44</v>
      </c>
    </row>
    <row r="6" ht="28" spans="1:10">
      <c r="A6" s="3">
        <v>2</v>
      </c>
      <c r="B6" s="3" t="s">
        <v>45</v>
      </c>
      <c r="C6" s="3" t="s">
        <v>40</v>
      </c>
      <c r="D6" s="21">
        <v>88.25</v>
      </c>
      <c r="E6" s="3" t="s">
        <v>46</v>
      </c>
      <c r="F6" s="3" t="s">
        <v>47</v>
      </c>
      <c r="G6" s="3">
        <v>4000</v>
      </c>
      <c r="H6" s="13">
        <f t="shared" si="0"/>
        <v>353000</v>
      </c>
      <c r="I6" s="3" t="s">
        <v>48</v>
      </c>
      <c r="J6" s="3" t="s">
        <v>44</v>
      </c>
    </row>
    <row r="7" ht="28" spans="1:10">
      <c r="A7" s="3">
        <v>3</v>
      </c>
      <c r="B7" s="3" t="s">
        <v>49</v>
      </c>
      <c r="C7" s="3" t="s">
        <v>50</v>
      </c>
      <c r="D7" s="21">
        <v>25.8</v>
      </c>
      <c r="E7" s="3" t="s">
        <v>51</v>
      </c>
      <c r="F7" s="3" t="s">
        <v>52</v>
      </c>
      <c r="G7" s="3">
        <v>3000</v>
      </c>
      <c r="H7" s="13">
        <f t="shared" si="0"/>
        <v>77400</v>
      </c>
      <c r="I7" s="3" t="s">
        <v>53</v>
      </c>
      <c r="J7" s="3" t="s">
        <v>44</v>
      </c>
    </row>
    <row r="8" ht="28" spans="1:10">
      <c r="A8" s="3">
        <v>4</v>
      </c>
      <c r="B8" s="3" t="s">
        <v>54</v>
      </c>
      <c r="C8" s="3" t="s">
        <v>55</v>
      </c>
      <c r="D8" s="21">
        <v>89</v>
      </c>
      <c r="E8" s="3" t="s">
        <v>41</v>
      </c>
      <c r="F8" s="3" t="s">
        <v>42</v>
      </c>
      <c r="G8" s="3">
        <v>0</v>
      </c>
      <c r="H8" s="13">
        <f t="shared" si="0"/>
        <v>0</v>
      </c>
      <c r="I8" s="3" t="s">
        <v>43</v>
      </c>
      <c r="J8" s="3" t="s">
        <v>44</v>
      </c>
    </row>
    <row r="9" ht="28" spans="1:10">
      <c r="A9" s="3">
        <v>5</v>
      </c>
      <c r="B9" s="3" t="s">
        <v>56</v>
      </c>
      <c r="C9" s="3" t="s">
        <v>57</v>
      </c>
      <c r="D9" s="21">
        <v>13.8</v>
      </c>
      <c r="E9" s="3" t="s">
        <v>41</v>
      </c>
      <c r="F9" s="3" t="s">
        <v>58</v>
      </c>
      <c r="G9" s="3">
        <v>2000</v>
      </c>
      <c r="H9" s="13">
        <f t="shared" si="0"/>
        <v>27600</v>
      </c>
      <c r="I9" s="3" t="s">
        <v>59</v>
      </c>
      <c r="J9" s="3" t="s">
        <v>44</v>
      </c>
    </row>
    <row r="10" ht="28" spans="1:10">
      <c r="A10" s="3">
        <v>6</v>
      </c>
      <c r="B10" s="3" t="s">
        <v>60</v>
      </c>
      <c r="C10" s="3" t="s">
        <v>50</v>
      </c>
      <c r="D10" s="21">
        <v>18.1</v>
      </c>
      <c r="E10" s="3" t="s">
        <v>41</v>
      </c>
      <c r="F10" s="3" t="s">
        <v>58</v>
      </c>
      <c r="G10" s="3">
        <v>2000</v>
      </c>
      <c r="H10" s="13">
        <f t="shared" si="0"/>
        <v>36200</v>
      </c>
      <c r="I10" s="3" t="s">
        <v>59</v>
      </c>
      <c r="J10" s="3" t="s">
        <v>44</v>
      </c>
    </row>
    <row r="11" ht="28" spans="1:10">
      <c r="A11" s="3">
        <v>7</v>
      </c>
      <c r="B11" s="3" t="s">
        <v>61</v>
      </c>
      <c r="C11" s="3" t="s">
        <v>62</v>
      </c>
      <c r="D11" s="21">
        <v>18.9</v>
      </c>
      <c r="E11" s="3" t="s">
        <v>63</v>
      </c>
      <c r="F11" s="3" t="s">
        <v>64</v>
      </c>
      <c r="G11" s="3">
        <v>1000</v>
      </c>
      <c r="H11" s="13">
        <f t="shared" si="0"/>
        <v>18900</v>
      </c>
      <c r="I11" s="3" t="s">
        <v>65</v>
      </c>
      <c r="J11" s="3" t="s">
        <v>44</v>
      </c>
    </row>
    <row r="12" ht="28" spans="1:10">
      <c r="A12" s="3">
        <v>8</v>
      </c>
      <c r="B12" s="3" t="s">
        <v>66</v>
      </c>
      <c r="C12" s="3" t="s">
        <v>67</v>
      </c>
      <c r="D12" s="21">
        <v>28.8</v>
      </c>
      <c r="E12" s="3" t="s">
        <v>68</v>
      </c>
      <c r="F12" s="3" t="s">
        <v>41</v>
      </c>
      <c r="G12" s="3">
        <v>0</v>
      </c>
      <c r="H12" s="13">
        <f t="shared" si="0"/>
        <v>0</v>
      </c>
      <c r="I12" s="3" t="s">
        <v>43</v>
      </c>
      <c r="J12" s="3" t="s">
        <v>44</v>
      </c>
    </row>
    <row r="13" ht="28" spans="1:10">
      <c r="A13" s="3">
        <v>9</v>
      </c>
      <c r="B13" s="3" t="s">
        <v>69</v>
      </c>
      <c r="C13" s="3" t="s">
        <v>50</v>
      </c>
      <c r="D13" s="21">
        <v>17.91</v>
      </c>
      <c r="E13" s="3" t="s">
        <v>70</v>
      </c>
      <c r="F13" s="3" t="s">
        <v>64</v>
      </c>
      <c r="G13" s="3">
        <v>1000</v>
      </c>
      <c r="H13" s="13">
        <f t="shared" si="0"/>
        <v>17910</v>
      </c>
      <c r="I13" s="3" t="s">
        <v>65</v>
      </c>
      <c r="J13" s="3" t="s">
        <v>44</v>
      </c>
    </row>
    <row r="14" ht="28" spans="1:10">
      <c r="A14" s="3">
        <v>10</v>
      </c>
      <c r="B14" s="3" t="s">
        <v>71</v>
      </c>
      <c r="C14" s="3" t="s">
        <v>67</v>
      </c>
      <c r="D14" s="21">
        <v>49</v>
      </c>
      <c r="E14" s="3" t="s">
        <v>41</v>
      </c>
      <c r="F14" s="3" t="s">
        <v>72</v>
      </c>
      <c r="G14" s="3">
        <v>900</v>
      </c>
      <c r="H14" s="13">
        <f t="shared" si="0"/>
        <v>44100</v>
      </c>
      <c r="I14" s="3" t="s">
        <v>73</v>
      </c>
      <c r="J14" s="3" t="s">
        <v>44</v>
      </c>
    </row>
    <row r="15" spans="1:10">
      <c r="A15" s="22" t="s">
        <v>41</v>
      </c>
      <c r="B15" s="22" t="s">
        <v>74</v>
      </c>
      <c r="C15" s="22" t="s">
        <v>41</v>
      </c>
      <c r="D15" s="22" t="s">
        <v>41</v>
      </c>
      <c r="E15" s="22" t="s">
        <v>41</v>
      </c>
      <c r="F15" s="22" t="s">
        <v>41</v>
      </c>
      <c r="G15" s="23">
        <f>SUM(G5:G14)</f>
        <v>13900</v>
      </c>
      <c r="H15" s="24">
        <f>SUM(H5:H14)</f>
        <v>575110</v>
      </c>
      <c r="I15" s="22" t="s">
        <v>41</v>
      </c>
      <c r="J15" s="22" t="s">
        <v>41</v>
      </c>
    </row>
    <row r="16" spans="1:10">
      <c r="A16" s="3" t="s">
        <v>41</v>
      </c>
      <c r="B16" s="3" t="s">
        <v>75</v>
      </c>
      <c r="C16" s="3" t="s">
        <v>41</v>
      </c>
      <c r="D16" s="21">
        <f>AVERAGE(D5:D14)</f>
        <v>40.331</v>
      </c>
      <c r="E16" s="3" t="s">
        <v>41</v>
      </c>
      <c r="F16" s="3" t="s">
        <v>41</v>
      </c>
      <c r="G16" s="3" t="s">
        <v>41</v>
      </c>
      <c r="H16" s="3" t="s">
        <v>41</v>
      </c>
      <c r="I16" s="3" t="s">
        <v>41</v>
      </c>
      <c r="J16" s="3" t="s">
        <v>41</v>
      </c>
    </row>
    <row r="17" spans="1:10">
      <c r="A17" s="3" t="s">
        <v>41</v>
      </c>
      <c r="B17" s="3" t="s">
        <v>76</v>
      </c>
      <c r="C17" s="3" t="s">
        <v>41</v>
      </c>
      <c r="D17" s="21">
        <f>MEDIAN(D5:D14)</f>
        <v>27.3</v>
      </c>
      <c r="E17" s="3" t="s">
        <v>41</v>
      </c>
      <c r="F17" s="3" t="s">
        <v>41</v>
      </c>
      <c r="G17" s="3" t="s">
        <v>41</v>
      </c>
      <c r="H17" s="3" t="s">
        <v>41</v>
      </c>
      <c r="I17" s="3" t="s">
        <v>41</v>
      </c>
      <c r="J17" s="3" t="s">
        <v>41</v>
      </c>
    </row>
    <row r="18" spans="1:10">
      <c r="A18" s="3" t="s">
        <v>41</v>
      </c>
      <c r="B18" s="3" t="s">
        <v>77</v>
      </c>
      <c r="C18" s="3" t="s">
        <v>41</v>
      </c>
      <c r="D18" s="3" t="s">
        <v>41</v>
      </c>
      <c r="E18" s="3" t="s">
        <v>41</v>
      </c>
      <c r="F18" s="3" t="s">
        <v>41</v>
      </c>
      <c r="G18" s="3">
        <f>COUNTIF(G5:G14,"&gt;0")</f>
        <v>7</v>
      </c>
      <c r="H18" s="3" t="s">
        <v>41</v>
      </c>
      <c r="I18" s="3" t="s">
        <v>41</v>
      </c>
      <c r="J18" s="3" t="s">
        <v>41</v>
      </c>
    </row>
  </sheetData>
  <mergeCells count="2">
    <mergeCell ref="A1:J1"/>
    <mergeCell ref="B3:J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showGridLines="0" workbookViewId="0">
      <pane ySplit="4" topLeftCell="A5" activePane="bottomLeft" state="frozen"/>
      <selection/>
      <selection pane="bottomLeft" activeCell="A1" sqref="A1:I15"/>
    </sheetView>
  </sheetViews>
  <sheetFormatPr defaultColWidth="9" defaultRowHeight="14"/>
  <cols>
    <col min="1" max="1" width="9" customWidth="1"/>
    <col min="2" max="2" width="52" customWidth="1"/>
    <col min="3" max="4" width="22" customWidth="1"/>
    <col min="5" max="6" width="18" customWidth="1"/>
    <col min="7" max="8" width="16" customWidth="1"/>
    <col min="9" max="9" width="12" customWidth="1"/>
  </cols>
  <sheetData>
    <row r="1" ht="26" customHeight="1" spans="1:1">
      <c r="A1" s="1" t="s">
        <v>78</v>
      </c>
    </row>
    <row r="2" ht="84" spans="1:4">
      <c r="A2" s="15" t="s">
        <v>79</v>
      </c>
      <c r="B2" s="15" t="s">
        <v>80</v>
      </c>
      <c r="C2" s="15" t="s">
        <v>81</v>
      </c>
      <c r="D2" s="20" t="s">
        <v>82</v>
      </c>
    </row>
    <row r="3" spans="1:2">
      <c r="A3" s="7" t="s">
        <v>83</v>
      </c>
      <c r="B3" s="16" t="s">
        <v>84</v>
      </c>
    </row>
    <row r="4" spans="1:9">
      <c r="A4" s="2" t="s">
        <v>85</v>
      </c>
      <c r="B4" s="2" t="s">
        <v>86</v>
      </c>
      <c r="C4" s="2" t="s">
        <v>87</v>
      </c>
      <c r="D4" s="2" t="s">
        <v>88</v>
      </c>
      <c r="E4" s="2" t="s">
        <v>89</v>
      </c>
      <c r="F4" s="2" t="s">
        <v>90</v>
      </c>
      <c r="G4" s="2" t="s">
        <v>91</v>
      </c>
      <c r="H4" s="2" t="s">
        <v>92</v>
      </c>
      <c r="I4" s="2" t="s">
        <v>93</v>
      </c>
    </row>
    <row r="5" ht="28" spans="1:9">
      <c r="A5" s="3">
        <v>1</v>
      </c>
      <c r="B5" s="3" t="s">
        <v>94</v>
      </c>
      <c r="C5" s="3" t="s">
        <v>95</v>
      </c>
      <c r="D5" s="3" t="s">
        <v>96</v>
      </c>
      <c r="E5" s="17">
        <v>5000</v>
      </c>
      <c r="F5" s="17">
        <v>7500</v>
      </c>
      <c r="G5" s="17">
        <v>100000</v>
      </c>
      <c r="H5" s="17">
        <v>250000</v>
      </c>
      <c r="I5" s="3" t="s">
        <v>97</v>
      </c>
    </row>
    <row r="6" ht="28" spans="1:9">
      <c r="A6" s="3">
        <v>2</v>
      </c>
      <c r="B6" s="3" t="s">
        <v>45</v>
      </c>
      <c r="C6" s="3" t="s">
        <v>98</v>
      </c>
      <c r="D6" s="3" t="s">
        <v>40</v>
      </c>
      <c r="E6" s="17">
        <v>1000</v>
      </c>
      <c r="F6" s="17">
        <v>2500</v>
      </c>
      <c r="G6" s="17">
        <v>25000</v>
      </c>
      <c r="H6" s="17">
        <v>50000</v>
      </c>
      <c r="I6" s="3" t="s">
        <v>97</v>
      </c>
    </row>
    <row r="7" ht="28" spans="1:9">
      <c r="A7" s="3">
        <v>3</v>
      </c>
      <c r="B7" s="3" t="s">
        <v>99</v>
      </c>
      <c r="C7" s="3" t="s">
        <v>95</v>
      </c>
      <c r="D7" s="3" t="s">
        <v>55</v>
      </c>
      <c r="E7" s="17">
        <v>2500</v>
      </c>
      <c r="F7" s="17">
        <v>5000</v>
      </c>
      <c r="G7" s="17">
        <v>25000</v>
      </c>
      <c r="H7" s="17">
        <v>50000</v>
      </c>
      <c r="I7" s="3" t="s">
        <v>97</v>
      </c>
    </row>
    <row r="8" ht="28" spans="1:9">
      <c r="A8" s="3">
        <v>4</v>
      </c>
      <c r="B8" s="3" t="s">
        <v>100</v>
      </c>
      <c r="C8" s="3" t="s">
        <v>98</v>
      </c>
      <c r="D8" s="3" t="s">
        <v>101</v>
      </c>
      <c r="E8" s="17">
        <v>2500</v>
      </c>
      <c r="F8" s="17">
        <v>5000</v>
      </c>
      <c r="G8" s="17">
        <v>25000</v>
      </c>
      <c r="H8" s="17">
        <v>50000</v>
      </c>
      <c r="I8" s="3" t="s">
        <v>102</v>
      </c>
    </row>
    <row r="9" ht="28" spans="1:9">
      <c r="A9" s="3">
        <v>5</v>
      </c>
      <c r="B9" s="3" t="s">
        <v>66</v>
      </c>
      <c r="C9" s="3" t="s">
        <v>98</v>
      </c>
      <c r="D9" s="3" t="s">
        <v>67</v>
      </c>
      <c r="E9" s="17">
        <v>2500</v>
      </c>
      <c r="F9" s="17">
        <v>5000</v>
      </c>
      <c r="G9" s="17">
        <v>25000</v>
      </c>
      <c r="H9" s="17">
        <v>50000</v>
      </c>
      <c r="I9" s="3" t="s">
        <v>97</v>
      </c>
    </row>
    <row r="10" ht="28" spans="1:9">
      <c r="A10" s="3">
        <v>6</v>
      </c>
      <c r="B10" s="3" t="s">
        <v>103</v>
      </c>
      <c r="C10" s="3" t="s">
        <v>104</v>
      </c>
      <c r="D10" s="3" t="s">
        <v>96</v>
      </c>
      <c r="E10" s="17">
        <v>1000</v>
      </c>
      <c r="F10" s="17">
        <v>2500</v>
      </c>
      <c r="G10" s="17">
        <v>10000</v>
      </c>
      <c r="H10" s="17">
        <v>25000</v>
      </c>
      <c r="I10" s="3" t="s">
        <v>105</v>
      </c>
    </row>
    <row r="11" spans="1:9">
      <c r="A11" s="3">
        <v>7</v>
      </c>
      <c r="B11" s="3" t="s">
        <v>106</v>
      </c>
      <c r="C11" s="3" t="s">
        <v>107</v>
      </c>
      <c r="D11" s="3" t="s">
        <v>108</v>
      </c>
      <c r="E11" s="17">
        <v>10000</v>
      </c>
      <c r="F11" s="17">
        <v>25000</v>
      </c>
      <c r="G11" s="17">
        <v>25000</v>
      </c>
      <c r="H11" s="17">
        <v>50000</v>
      </c>
      <c r="I11" s="3" t="s">
        <v>102</v>
      </c>
    </row>
    <row r="12" ht="28" spans="1:9">
      <c r="A12" s="3">
        <v>8</v>
      </c>
      <c r="B12" s="3" t="s">
        <v>109</v>
      </c>
      <c r="C12" s="3" t="s">
        <v>110</v>
      </c>
      <c r="D12" s="3" t="s">
        <v>96</v>
      </c>
      <c r="E12" s="17">
        <v>750</v>
      </c>
      <c r="F12" s="17">
        <v>1000</v>
      </c>
      <c r="G12" s="17">
        <v>10000</v>
      </c>
      <c r="H12" s="17">
        <v>25000</v>
      </c>
      <c r="I12" s="3" t="s">
        <v>102</v>
      </c>
    </row>
    <row r="13" ht="28" spans="1:9">
      <c r="A13" s="3">
        <v>9</v>
      </c>
      <c r="B13" s="3" t="s">
        <v>111</v>
      </c>
      <c r="C13" s="3" t="s">
        <v>95</v>
      </c>
      <c r="D13" s="3" t="s">
        <v>112</v>
      </c>
      <c r="E13" s="17">
        <v>1000</v>
      </c>
      <c r="F13" s="17">
        <v>2500</v>
      </c>
      <c r="G13" s="17">
        <v>25000</v>
      </c>
      <c r="H13" s="17">
        <v>50000</v>
      </c>
      <c r="I13" s="3" t="s">
        <v>105</v>
      </c>
    </row>
    <row r="14" ht="28" spans="1:9">
      <c r="A14" s="3">
        <v>10</v>
      </c>
      <c r="B14" s="3" t="s">
        <v>49</v>
      </c>
      <c r="C14" s="3" t="s">
        <v>110</v>
      </c>
      <c r="D14" s="3" t="s">
        <v>50</v>
      </c>
      <c r="E14" s="17">
        <v>2500</v>
      </c>
      <c r="F14" s="17">
        <v>5000</v>
      </c>
      <c r="G14" s="17">
        <v>10000</v>
      </c>
      <c r="H14" s="17">
        <v>25000</v>
      </c>
      <c r="I14" s="3" t="s">
        <v>113</v>
      </c>
    </row>
    <row r="15" spans="1:9">
      <c r="A15" s="18" t="s">
        <v>114</v>
      </c>
      <c r="B15" s="18" t="s">
        <v>41</v>
      </c>
      <c r="C15" s="18" t="s">
        <v>41</v>
      </c>
      <c r="D15" s="18" t="s">
        <v>41</v>
      </c>
      <c r="E15" s="19">
        <f>SUM(E5:E14)</f>
        <v>28750</v>
      </c>
      <c r="F15" s="19">
        <f>SUM(F5:F14)</f>
        <v>61000</v>
      </c>
      <c r="G15" s="19">
        <f>SUM(G5:G14)</f>
        <v>280000</v>
      </c>
      <c r="H15" s="19">
        <f>SUM(H5:H14)</f>
        <v>625000</v>
      </c>
      <c r="I15" s="18" t="s">
        <v>41</v>
      </c>
    </row>
  </sheetData>
  <mergeCells count="3">
    <mergeCell ref="A1:I1"/>
    <mergeCell ref="D2:I2"/>
    <mergeCell ref="B3:I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showGridLines="0" workbookViewId="0">
      <pane ySplit="4" topLeftCell="A5" activePane="bottomLeft" state="frozen"/>
      <selection/>
      <selection pane="bottomLeft" activeCell="A1" sqref="A1:G15"/>
    </sheetView>
  </sheetViews>
  <sheetFormatPr defaultColWidth="9" defaultRowHeight="14" outlineLevelCol="6"/>
  <cols>
    <col min="1" max="1" width="9" customWidth="1"/>
    <col min="2" max="2" width="28" customWidth="1"/>
    <col min="3" max="5" width="16" customWidth="1"/>
    <col min="6" max="6" width="18" customWidth="1"/>
    <col min="7" max="7" width="12" customWidth="1"/>
  </cols>
  <sheetData>
    <row r="1" ht="26" customHeight="1" spans="1:1">
      <c r="A1" s="1" t="s">
        <v>115</v>
      </c>
    </row>
    <row r="2" ht="84" spans="1:4">
      <c r="A2" s="15" t="s">
        <v>79</v>
      </c>
      <c r="B2" s="15" t="s">
        <v>116</v>
      </c>
      <c r="C2" s="15" t="s">
        <v>117</v>
      </c>
      <c r="D2" s="16" t="s">
        <v>118</v>
      </c>
    </row>
    <row r="3" spans="1:2">
      <c r="A3" s="7" t="s">
        <v>83</v>
      </c>
      <c r="B3" s="16" t="s">
        <v>119</v>
      </c>
    </row>
    <row r="4" spans="1:7">
      <c r="A4" s="2" t="s">
        <v>85</v>
      </c>
      <c r="B4" s="2" t="s">
        <v>88</v>
      </c>
      <c r="C4" s="2" t="s">
        <v>120</v>
      </c>
      <c r="D4" s="2" t="s">
        <v>91</v>
      </c>
      <c r="E4" s="2" t="s">
        <v>92</v>
      </c>
      <c r="F4" s="2" t="s">
        <v>121</v>
      </c>
      <c r="G4" s="2" t="s">
        <v>93</v>
      </c>
    </row>
    <row r="5" spans="1:7">
      <c r="A5" s="3">
        <v>1</v>
      </c>
      <c r="B5" s="3" t="s">
        <v>96</v>
      </c>
      <c r="C5" s="17">
        <v>1</v>
      </c>
      <c r="D5" s="17">
        <v>500000</v>
      </c>
      <c r="E5" s="17">
        <v>750000</v>
      </c>
      <c r="F5" s="17">
        <v>10</v>
      </c>
      <c r="G5" s="3" t="s">
        <v>97</v>
      </c>
    </row>
    <row r="6" spans="1:7">
      <c r="A6" s="3">
        <v>2</v>
      </c>
      <c r="B6" s="3" t="s">
        <v>40</v>
      </c>
      <c r="C6" s="17">
        <v>2</v>
      </c>
      <c r="D6" s="17">
        <v>250000</v>
      </c>
      <c r="E6" s="17">
        <v>500000</v>
      </c>
      <c r="F6" s="17">
        <v>20</v>
      </c>
      <c r="G6" s="3" t="s">
        <v>97</v>
      </c>
    </row>
    <row r="7" spans="1:7">
      <c r="A7" s="3">
        <v>3</v>
      </c>
      <c r="B7" s="3" t="s">
        <v>55</v>
      </c>
      <c r="C7" s="17">
        <v>3</v>
      </c>
      <c r="D7" s="17">
        <v>750000</v>
      </c>
      <c r="E7" s="17">
        <v>1000000</v>
      </c>
      <c r="F7" s="17">
        <v>120</v>
      </c>
      <c r="G7" s="3" t="s">
        <v>97</v>
      </c>
    </row>
    <row r="8" spans="1:7">
      <c r="A8" s="3">
        <v>4</v>
      </c>
      <c r="B8" s="3" t="s">
        <v>122</v>
      </c>
      <c r="C8" s="17">
        <v>4</v>
      </c>
      <c r="D8" s="17">
        <v>100000</v>
      </c>
      <c r="E8" s="17">
        <v>250000</v>
      </c>
      <c r="F8" s="17">
        <v>30</v>
      </c>
      <c r="G8" s="3" t="s">
        <v>123</v>
      </c>
    </row>
    <row r="9" spans="1:7">
      <c r="A9" s="3">
        <v>5</v>
      </c>
      <c r="B9" s="3" t="s">
        <v>124</v>
      </c>
      <c r="C9" s="17">
        <v>5</v>
      </c>
      <c r="D9" s="17">
        <v>250000</v>
      </c>
      <c r="E9" s="17">
        <v>500000</v>
      </c>
      <c r="F9" s="17">
        <v>80</v>
      </c>
      <c r="G9" s="3" t="s">
        <v>125</v>
      </c>
    </row>
    <row r="10" spans="1:7">
      <c r="A10" s="3">
        <v>6</v>
      </c>
      <c r="B10" s="3" t="s">
        <v>67</v>
      </c>
      <c r="C10" s="17">
        <v>6</v>
      </c>
      <c r="D10" s="17">
        <v>100000</v>
      </c>
      <c r="E10" s="17">
        <v>250000</v>
      </c>
      <c r="F10" s="17">
        <v>70</v>
      </c>
      <c r="G10" s="3" t="s">
        <v>123</v>
      </c>
    </row>
    <row r="11" spans="1:7">
      <c r="A11" s="3">
        <v>7</v>
      </c>
      <c r="B11" s="3" t="s">
        <v>126</v>
      </c>
      <c r="C11" s="17">
        <v>7</v>
      </c>
      <c r="D11" s="17">
        <v>100000</v>
      </c>
      <c r="E11" s="17">
        <v>250000</v>
      </c>
      <c r="F11" s="17">
        <v>30</v>
      </c>
      <c r="G11" s="3" t="s">
        <v>125</v>
      </c>
    </row>
    <row r="12" spans="1:7">
      <c r="A12" s="3">
        <v>8</v>
      </c>
      <c r="B12" s="3" t="s">
        <v>112</v>
      </c>
      <c r="C12" s="17">
        <v>8</v>
      </c>
      <c r="D12" s="17">
        <v>100000</v>
      </c>
      <c r="E12" s="17">
        <v>250000</v>
      </c>
      <c r="F12" s="17">
        <v>10</v>
      </c>
      <c r="G12" s="3" t="s">
        <v>113</v>
      </c>
    </row>
    <row r="13" spans="1:7">
      <c r="A13" s="3">
        <v>9</v>
      </c>
      <c r="B13" s="3" t="s">
        <v>101</v>
      </c>
      <c r="C13" s="17">
        <v>9</v>
      </c>
      <c r="D13" s="17">
        <v>100000</v>
      </c>
      <c r="E13" s="17">
        <v>250000</v>
      </c>
      <c r="F13" s="17">
        <v>60</v>
      </c>
      <c r="G13" s="3" t="s">
        <v>127</v>
      </c>
    </row>
    <row r="14" spans="1:7">
      <c r="A14" s="3">
        <v>10</v>
      </c>
      <c r="B14" s="3" t="s">
        <v>50</v>
      </c>
      <c r="C14" s="17">
        <v>10</v>
      </c>
      <c r="D14" s="17">
        <v>75000</v>
      </c>
      <c r="E14" s="17">
        <v>100000</v>
      </c>
      <c r="F14" s="17">
        <v>30</v>
      </c>
      <c r="G14" s="3" t="s">
        <v>97</v>
      </c>
    </row>
    <row r="15" spans="1:7">
      <c r="A15" s="18" t="s">
        <v>114</v>
      </c>
      <c r="B15" s="18" t="s">
        <v>41</v>
      </c>
      <c r="C15" s="19" t="s">
        <v>41</v>
      </c>
      <c r="D15" s="19">
        <f>SUM(D5:D14)</f>
        <v>2325000</v>
      </c>
      <c r="E15" s="19">
        <f>SUM(E5:E14)</f>
        <v>4100000</v>
      </c>
      <c r="F15" s="19">
        <f>SUM(F5:F14)</f>
        <v>460</v>
      </c>
      <c r="G15" s="18" t="s">
        <v>41</v>
      </c>
    </row>
  </sheetData>
  <mergeCells count="3">
    <mergeCell ref="A1:G1"/>
    <mergeCell ref="D2:G2"/>
    <mergeCell ref="B3:G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showGridLines="0" workbookViewId="0">
      <pane ySplit="2" topLeftCell="A3" activePane="bottomLeft" state="frozen"/>
      <selection/>
      <selection pane="bottomLeft" activeCell="A1" sqref="A1:G1"/>
    </sheetView>
  </sheetViews>
  <sheetFormatPr defaultColWidth="9" defaultRowHeight="14" outlineLevelCol="6"/>
  <cols>
    <col min="1" max="1" width="14" customWidth="1"/>
    <col min="2" max="2" width="34" customWidth="1"/>
    <col min="3" max="3" width="20" customWidth="1"/>
    <col min="4" max="4" width="14" customWidth="1"/>
    <col min="5" max="5" width="36" customWidth="1"/>
    <col min="6" max="6" width="12" customWidth="1"/>
    <col min="7" max="7" width="38" customWidth="1"/>
  </cols>
  <sheetData>
    <row r="1" ht="26" customHeight="1" spans="1:1">
      <c r="A1" s="1" t="s">
        <v>128</v>
      </c>
    </row>
    <row r="2" spans="1:7">
      <c r="A2" s="2" t="s">
        <v>129</v>
      </c>
      <c r="B2" s="2" t="s">
        <v>130</v>
      </c>
      <c r="C2" s="2" t="s">
        <v>131</v>
      </c>
      <c r="D2" s="2" t="s">
        <v>132</v>
      </c>
      <c r="E2" s="2" t="s">
        <v>133</v>
      </c>
      <c r="F2" s="2" t="s">
        <v>134</v>
      </c>
      <c r="G2" s="2" t="s">
        <v>135</v>
      </c>
    </row>
    <row r="3" ht="28" spans="1:7">
      <c r="A3" s="3" t="s">
        <v>136</v>
      </c>
      <c r="B3" s="3" t="s">
        <v>137</v>
      </c>
      <c r="C3" s="10">
        <v>38912600</v>
      </c>
      <c r="D3" s="3" t="s">
        <v>138</v>
      </c>
      <c r="E3" s="3" t="s">
        <v>139</v>
      </c>
      <c r="F3" s="3" t="s">
        <v>140</v>
      </c>
      <c r="G3" s="3" t="s">
        <v>141</v>
      </c>
    </row>
    <row r="4" spans="1:7">
      <c r="A4" s="3" t="s">
        <v>136</v>
      </c>
      <c r="B4" s="3" t="s">
        <v>142</v>
      </c>
      <c r="C4" s="11">
        <v>0.05</v>
      </c>
      <c r="D4" s="3" t="s">
        <v>143</v>
      </c>
      <c r="E4" s="3" t="s">
        <v>144</v>
      </c>
      <c r="F4" s="3" t="s">
        <v>145</v>
      </c>
      <c r="G4" s="3" t="s">
        <v>146</v>
      </c>
    </row>
    <row r="5" spans="1:7">
      <c r="A5" s="3" t="s">
        <v>136</v>
      </c>
      <c r="B5" s="3" t="s">
        <v>147</v>
      </c>
      <c r="C5" s="11">
        <v>0.1</v>
      </c>
      <c r="D5" s="3" t="s">
        <v>143</v>
      </c>
      <c r="E5" s="3" t="s">
        <v>144</v>
      </c>
      <c r="F5" s="3" t="s">
        <v>145</v>
      </c>
      <c r="G5" s="3" t="s">
        <v>148</v>
      </c>
    </row>
    <row r="6" spans="1:7">
      <c r="A6" s="3" t="s">
        <v>136</v>
      </c>
      <c r="B6" s="3" t="s">
        <v>149</v>
      </c>
      <c r="C6" s="11">
        <v>0.15</v>
      </c>
      <c r="D6" s="3" t="s">
        <v>143</v>
      </c>
      <c r="E6" s="3" t="s">
        <v>144</v>
      </c>
      <c r="F6" s="3" t="s">
        <v>145</v>
      </c>
      <c r="G6" s="3" t="s">
        <v>150</v>
      </c>
    </row>
    <row r="7" ht="28" spans="1:7">
      <c r="A7" s="3" t="s">
        <v>136</v>
      </c>
      <c r="B7" s="3" t="s">
        <v>151</v>
      </c>
      <c r="C7" s="12">
        <v>59</v>
      </c>
      <c r="D7" s="3" t="s">
        <v>152</v>
      </c>
      <c r="E7" s="3" t="s">
        <v>153</v>
      </c>
      <c r="F7" s="3" t="s">
        <v>145</v>
      </c>
      <c r="G7" s="3" t="s">
        <v>154</v>
      </c>
    </row>
    <row r="8" spans="1:7">
      <c r="A8" s="3" t="s">
        <v>136</v>
      </c>
      <c r="B8" s="3" t="s">
        <v>155</v>
      </c>
      <c r="C8" s="13">
        <f>C3*C4*C7</f>
        <v>114792170</v>
      </c>
      <c r="D8" s="3" t="s">
        <v>156</v>
      </c>
      <c r="E8" s="3" t="s">
        <v>157</v>
      </c>
      <c r="F8" s="3" t="s">
        <v>158</v>
      </c>
      <c r="G8" s="3" t="s">
        <v>159</v>
      </c>
    </row>
    <row r="9" spans="1:7">
      <c r="A9" s="3" t="s">
        <v>136</v>
      </c>
      <c r="B9" s="3" t="s">
        <v>160</v>
      </c>
      <c r="C9" s="13">
        <f>C3*C5*C7</f>
        <v>229584340</v>
      </c>
      <c r="D9" s="3" t="s">
        <v>156</v>
      </c>
      <c r="E9" s="3" t="s">
        <v>157</v>
      </c>
      <c r="F9" s="3" t="s">
        <v>158</v>
      </c>
      <c r="G9" s="3" t="s">
        <v>159</v>
      </c>
    </row>
    <row r="10" spans="1:7">
      <c r="A10" s="3" t="s">
        <v>136</v>
      </c>
      <c r="B10" s="3" t="s">
        <v>161</v>
      </c>
      <c r="C10" s="13">
        <f>C3*C6*C7</f>
        <v>344376510</v>
      </c>
      <c r="D10" s="3" t="s">
        <v>156</v>
      </c>
      <c r="E10" s="3" t="s">
        <v>157</v>
      </c>
      <c r="F10" s="3" t="s">
        <v>158</v>
      </c>
      <c r="G10" s="3" t="s">
        <v>159</v>
      </c>
    </row>
    <row r="11" spans="1:7">
      <c r="A11" s="3" t="s">
        <v>162</v>
      </c>
      <c r="B11" s="3" t="s">
        <v>163</v>
      </c>
      <c r="C11" s="3">
        <f>淘宝TOP10!G15</f>
        <v>13900</v>
      </c>
      <c r="D11" s="3" t="s">
        <v>164</v>
      </c>
      <c r="E11" s="3" t="s">
        <v>165</v>
      </c>
      <c r="F11" s="3" t="s">
        <v>158</v>
      </c>
      <c r="G11" s="3" t="s">
        <v>166</v>
      </c>
    </row>
    <row r="12" spans="1:7">
      <c r="A12" s="3" t="s">
        <v>162</v>
      </c>
      <c r="B12" s="3" t="s">
        <v>167</v>
      </c>
      <c r="C12" s="13">
        <f>淘宝TOP10!H15</f>
        <v>575110</v>
      </c>
      <c r="D12" s="3" t="s">
        <v>156</v>
      </c>
      <c r="E12" s="3" t="s">
        <v>168</v>
      </c>
      <c r="F12" s="3" t="s">
        <v>158</v>
      </c>
      <c r="G12" s="3" t="s">
        <v>169</v>
      </c>
    </row>
    <row r="13" spans="1:7">
      <c r="A13" s="3" t="s">
        <v>162</v>
      </c>
      <c r="B13" s="3" t="s">
        <v>170</v>
      </c>
      <c r="C13" s="14" t="s">
        <v>41</v>
      </c>
      <c r="D13" s="3" t="s">
        <v>156</v>
      </c>
      <c r="E13" s="3" t="s">
        <v>171</v>
      </c>
      <c r="F13" s="3" t="s">
        <v>145</v>
      </c>
      <c r="G13" s="3" t="s">
        <v>172</v>
      </c>
    </row>
    <row r="14" spans="1:7">
      <c r="A14" s="3" t="s">
        <v>162</v>
      </c>
      <c r="B14" s="3" t="s">
        <v>173</v>
      </c>
      <c r="C14" s="13" t="str">
        <f>C13</f>
        <v/>
      </c>
      <c r="D14" s="3" t="s">
        <v>156</v>
      </c>
      <c r="E14" s="3" t="s">
        <v>174</v>
      </c>
      <c r="F14" s="3" t="s">
        <v>158</v>
      </c>
      <c r="G14" s="3" t="s">
        <v>175</v>
      </c>
    </row>
    <row r="16" spans="1:2">
      <c r="A16" s="7" t="s">
        <v>176</v>
      </c>
      <c r="B16" s="8" t="s">
        <v>177</v>
      </c>
    </row>
  </sheetData>
  <mergeCells count="2">
    <mergeCell ref="A1:G1"/>
    <mergeCell ref="B16:G16"/>
  </mergeCell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showGridLines="0" workbookViewId="0">
      <pane ySplit="2" topLeftCell="A3" activePane="bottomLeft" state="frozen"/>
      <selection/>
      <selection pane="bottomLeft" activeCell="A1" sqref="A1:H1"/>
    </sheetView>
  </sheetViews>
  <sheetFormatPr defaultColWidth="9" defaultRowHeight="14" outlineLevelCol="7"/>
  <cols>
    <col min="1" max="1" width="17" customWidth="1"/>
    <col min="2" max="2" width="15" customWidth="1"/>
    <col min="3" max="3" width="18" customWidth="1"/>
    <col min="4" max="4" width="12" customWidth="1"/>
    <col min="5" max="5" width="15" customWidth="1"/>
    <col min="6" max="6" width="12" customWidth="1"/>
    <col min="7" max="7" width="43" customWidth="1"/>
    <col min="8" max="8" width="62" customWidth="1"/>
  </cols>
  <sheetData>
    <row r="1" ht="26" customHeight="1" spans="1:1">
      <c r="A1" s="1" t="s">
        <v>178</v>
      </c>
    </row>
    <row r="2" ht="28" spans="1:8">
      <c r="A2" s="2" t="s">
        <v>179</v>
      </c>
      <c r="B2" s="2" t="s">
        <v>180</v>
      </c>
      <c r="C2" s="2" t="s">
        <v>181</v>
      </c>
      <c r="D2" s="2" t="s">
        <v>182</v>
      </c>
      <c r="E2" s="2" t="s">
        <v>183</v>
      </c>
      <c r="F2" s="2" t="s">
        <v>184</v>
      </c>
      <c r="G2" s="2" t="s">
        <v>38</v>
      </c>
      <c r="H2" s="2" t="s">
        <v>185</v>
      </c>
    </row>
    <row r="3" ht="42" spans="1:8">
      <c r="A3" s="3" t="s">
        <v>186</v>
      </c>
      <c r="B3" s="4">
        <v>500</v>
      </c>
      <c r="C3" s="4">
        <v>693</v>
      </c>
      <c r="D3" s="5">
        <f t="shared" ref="D3:D14" si="0">IF(OR(B3="",C3=""),"",B3/C3-1)</f>
        <v>-0.278499278499278</v>
      </c>
      <c r="E3" s="6"/>
      <c r="F3" s="5" t="str">
        <f t="shared" ref="F3:F14" si="1">IF(OR(B3="",E3=""),"",B3/E3-1)</f>
        <v/>
      </c>
      <c r="G3" s="3" t="s">
        <v>187</v>
      </c>
      <c r="H3" s="3" t="s">
        <v>188</v>
      </c>
    </row>
    <row r="4" ht="42" spans="1:8">
      <c r="A4" s="3" t="s">
        <v>189</v>
      </c>
      <c r="B4" s="4">
        <v>517</v>
      </c>
      <c r="C4" s="4">
        <v>692</v>
      </c>
      <c r="D4" s="5">
        <f t="shared" si="0"/>
        <v>-0.252890173410405</v>
      </c>
      <c r="E4" s="6">
        <f t="shared" ref="E4:E14" si="2">B3</f>
        <v>500</v>
      </c>
      <c r="F4" s="5">
        <f t="shared" si="1"/>
        <v>0.034</v>
      </c>
      <c r="G4" s="3" t="s">
        <v>187</v>
      </c>
      <c r="H4" s="3" t="s">
        <v>190</v>
      </c>
    </row>
    <row r="5" ht="42" spans="1:8">
      <c r="A5" s="3" t="s">
        <v>191</v>
      </c>
      <c r="B5" s="4">
        <v>466</v>
      </c>
      <c r="C5" s="4">
        <v>690</v>
      </c>
      <c r="D5" s="5">
        <f t="shared" si="0"/>
        <v>-0.32463768115942</v>
      </c>
      <c r="E5" s="6">
        <f t="shared" si="2"/>
        <v>517</v>
      </c>
      <c r="F5" s="5">
        <f t="shared" si="1"/>
        <v>-0.0986460348162476</v>
      </c>
      <c r="G5" s="3" t="s">
        <v>187</v>
      </c>
      <c r="H5" s="3" t="s">
        <v>192</v>
      </c>
    </row>
    <row r="6" ht="42" spans="1:8">
      <c r="A6" s="3" t="s">
        <v>193</v>
      </c>
      <c r="B6" s="4">
        <v>427</v>
      </c>
      <c r="C6" s="4">
        <v>598</v>
      </c>
      <c r="D6" s="5">
        <f t="shared" si="0"/>
        <v>-0.285953177257525</v>
      </c>
      <c r="E6" s="6">
        <f t="shared" si="2"/>
        <v>466</v>
      </c>
      <c r="F6" s="5">
        <f t="shared" si="1"/>
        <v>-0.0836909871244635</v>
      </c>
      <c r="G6" s="3" t="s">
        <v>187</v>
      </c>
      <c r="H6" s="3" t="s">
        <v>194</v>
      </c>
    </row>
    <row r="7" ht="42" spans="1:8">
      <c r="A7" s="3" t="s">
        <v>195</v>
      </c>
      <c r="B7" s="4">
        <v>373</v>
      </c>
      <c r="C7" s="4">
        <v>595</v>
      </c>
      <c r="D7" s="5">
        <f t="shared" si="0"/>
        <v>-0.373109243697479</v>
      </c>
      <c r="E7" s="6">
        <f t="shared" si="2"/>
        <v>427</v>
      </c>
      <c r="F7" s="5">
        <f t="shared" si="1"/>
        <v>-0.126463700234192</v>
      </c>
      <c r="G7" s="3" t="s">
        <v>187</v>
      </c>
      <c r="H7" s="3" t="s">
        <v>196</v>
      </c>
    </row>
    <row r="8" ht="42" spans="1:8">
      <c r="A8" s="3" t="s">
        <v>197</v>
      </c>
      <c r="B8" s="4">
        <v>350</v>
      </c>
      <c r="C8" s="4">
        <v>454</v>
      </c>
      <c r="D8" s="5">
        <f t="shared" si="0"/>
        <v>-0.229074889867841</v>
      </c>
      <c r="E8" s="6">
        <f t="shared" si="2"/>
        <v>373</v>
      </c>
      <c r="F8" s="5">
        <f t="shared" si="1"/>
        <v>-0.061662198391421</v>
      </c>
      <c r="G8" s="3" t="s">
        <v>187</v>
      </c>
      <c r="H8" s="3" t="s">
        <v>198</v>
      </c>
    </row>
    <row r="9" ht="42" spans="1:8">
      <c r="A9" s="3" t="s">
        <v>199</v>
      </c>
      <c r="B9" s="4">
        <v>398</v>
      </c>
      <c r="C9" s="4">
        <v>629</v>
      </c>
      <c r="D9" s="5">
        <f t="shared" si="0"/>
        <v>-0.36724960254372</v>
      </c>
      <c r="E9" s="6">
        <f t="shared" si="2"/>
        <v>350</v>
      </c>
      <c r="F9" s="5">
        <f t="shared" si="1"/>
        <v>0.137142857142857</v>
      </c>
      <c r="G9" s="3" t="s">
        <v>187</v>
      </c>
      <c r="H9" s="3" t="s">
        <v>200</v>
      </c>
    </row>
    <row r="10" ht="42" spans="1:8">
      <c r="A10" s="3" t="s">
        <v>201</v>
      </c>
      <c r="B10" s="4">
        <v>485</v>
      </c>
      <c r="C10" s="4">
        <v>722</v>
      </c>
      <c r="D10" s="5">
        <f t="shared" si="0"/>
        <v>-0.328254847645429</v>
      </c>
      <c r="E10" s="6">
        <f t="shared" si="2"/>
        <v>398</v>
      </c>
      <c r="F10" s="5">
        <f t="shared" si="1"/>
        <v>0.21859296482412</v>
      </c>
      <c r="G10" s="3" t="s">
        <v>187</v>
      </c>
      <c r="H10" s="3" t="s">
        <v>202</v>
      </c>
    </row>
    <row r="11" ht="42" spans="1:8">
      <c r="A11" s="3" t="s">
        <v>203</v>
      </c>
      <c r="B11" s="4">
        <v>390</v>
      </c>
      <c r="C11" s="4">
        <v>621</v>
      </c>
      <c r="D11" s="5">
        <f t="shared" si="0"/>
        <v>-0.371980676328502</v>
      </c>
      <c r="E11" s="6">
        <f t="shared" si="2"/>
        <v>485</v>
      </c>
      <c r="F11" s="5">
        <f t="shared" si="1"/>
        <v>-0.195876288659794</v>
      </c>
      <c r="G11" s="3" t="s">
        <v>187</v>
      </c>
      <c r="H11" s="3" t="s">
        <v>204</v>
      </c>
    </row>
    <row r="12" ht="42" spans="1:8">
      <c r="A12" s="3" t="s">
        <v>205</v>
      </c>
      <c r="B12" s="4">
        <v>389</v>
      </c>
      <c r="C12" s="4">
        <v>648</v>
      </c>
      <c r="D12" s="5">
        <f t="shared" si="0"/>
        <v>-0.399691358024691</v>
      </c>
      <c r="E12" s="6">
        <f t="shared" si="2"/>
        <v>390</v>
      </c>
      <c r="F12" s="5">
        <f t="shared" si="1"/>
        <v>-0.00256410256410255</v>
      </c>
      <c r="G12" s="3" t="s">
        <v>187</v>
      </c>
      <c r="H12" s="3" t="s">
        <v>206</v>
      </c>
    </row>
    <row r="13" ht="42" spans="1:8">
      <c r="A13" s="3" t="s">
        <v>207</v>
      </c>
      <c r="B13" s="4">
        <v>424</v>
      </c>
      <c r="C13" s="4">
        <v>577</v>
      </c>
      <c r="D13" s="5">
        <f t="shared" si="0"/>
        <v>-0.265164644714038</v>
      </c>
      <c r="E13" s="6">
        <f t="shared" si="2"/>
        <v>389</v>
      </c>
      <c r="F13" s="5">
        <f t="shared" si="1"/>
        <v>0.0899742930591259</v>
      </c>
      <c r="G13" s="3" t="s">
        <v>187</v>
      </c>
      <c r="H13" s="3" t="s">
        <v>208</v>
      </c>
    </row>
    <row r="14" ht="42" spans="1:8">
      <c r="A14" s="3" t="s">
        <v>209</v>
      </c>
      <c r="B14" s="4">
        <v>365</v>
      </c>
      <c r="C14" s="4">
        <v>519</v>
      </c>
      <c r="D14" s="5">
        <f t="shared" si="0"/>
        <v>-0.296724470134875</v>
      </c>
      <c r="E14" s="6">
        <f t="shared" si="2"/>
        <v>424</v>
      </c>
      <c r="F14" s="5">
        <f t="shared" si="1"/>
        <v>-0.139150943396226</v>
      </c>
      <c r="G14" s="3" t="s">
        <v>187</v>
      </c>
      <c r="H14" s="3" t="s">
        <v>210</v>
      </c>
    </row>
    <row r="16" spans="1:2">
      <c r="A16" s="7" t="s">
        <v>211</v>
      </c>
      <c r="B16" s="8" t="s">
        <v>212</v>
      </c>
    </row>
    <row r="18" spans="1:1">
      <c r="A18" s="7" t="s">
        <v>213</v>
      </c>
    </row>
    <row r="19" spans="1:7">
      <c r="A19" s="9" t="s">
        <v>214</v>
      </c>
      <c r="B19" s="9" t="s">
        <v>215</v>
      </c>
      <c r="C19" s="9" t="s">
        <v>216</v>
      </c>
      <c r="D19" s="9" t="s">
        <v>217</v>
      </c>
      <c r="E19" s="9" t="s">
        <v>218</v>
      </c>
      <c r="F19" s="9" t="s">
        <v>38</v>
      </c>
      <c r="G19" s="9" t="s">
        <v>219</v>
      </c>
    </row>
    <row r="20" ht="84" spans="1:7">
      <c r="A20" s="3" t="s">
        <v>220</v>
      </c>
      <c r="B20" s="3">
        <v>361</v>
      </c>
      <c r="C20" s="3">
        <v>278</v>
      </c>
      <c r="D20" s="5">
        <v>-0.29</v>
      </c>
      <c r="E20" s="5">
        <v>-0.08</v>
      </c>
      <c r="F20" s="3" t="s">
        <v>221</v>
      </c>
      <c r="G20" s="3" t="s">
        <v>222</v>
      </c>
    </row>
    <row r="21" ht="126" spans="1:7">
      <c r="A21" s="3" t="s">
        <v>223</v>
      </c>
      <c r="B21" s="3">
        <v>521</v>
      </c>
      <c r="C21" s="3">
        <v>416</v>
      </c>
      <c r="D21" s="5" t="s">
        <v>41</v>
      </c>
      <c r="E21" s="5" t="s">
        <v>41</v>
      </c>
      <c r="F21" s="3" t="s">
        <v>187</v>
      </c>
      <c r="G21" s="3" t="s">
        <v>224</v>
      </c>
    </row>
  </sheetData>
  <mergeCells count="2">
    <mergeCell ref="A1:H1"/>
    <mergeCell ref="B16:H16"/>
  </mergeCell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showGridLines="0" workbookViewId="0">
      <pane ySplit="2" topLeftCell="A3" activePane="bottomLeft" state="frozen"/>
      <selection/>
      <selection pane="bottomLeft" activeCell="A1" sqref="A1:F1"/>
    </sheetView>
  </sheetViews>
  <sheetFormatPr defaultColWidth="9" defaultRowHeight="14" outlineLevelCol="5"/>
  <cols>
    <col min="1" max="1" width="8" customWidth="1"/>
    <col min="2" max="2" width="42" customWidth="1"/>
    <col min="3" max="3" width="16" customWidth="1"/>
    <col min="4" max="4" width="52" customWidth="1"/>
    <col min="5" max="5" width="20" customWidth="1"/>
    <col min="6" max="6" width="42" customWidth="1"/>
  </cols>
  <sheetData>
    <row r="1" ht="26" customHeight="1" spans="1:1">
      <c r="A1" s="1" t="s">
        <v>225</v>
      </c>
    </row>
    <row r="2" spans="1:6">
      <c r="A2" s="2" t="s">
        <v>226</v>
      </c>
      <c r="B2" s="2" t="s">
        <v>227</v>
      </c>
      <c r="C2" s="2" t="s">
        <v>228</v>
      </c>
      <c r="D2" s="2" t="s">
        <v>229</v>
      </c>
      <c r="E2" s="2" t="s">
        <v>230</v>
      </c>
      <c r="F2" s="2" t="s">
        <v>219</v>
      </c>
    </row>
    <row r="3" ht="28" spans="1:6">
      <c r="A3" s="3">
        <v>1</v>
      </c>
      <c r="B3" s="3" t="s">
        <v>139</v>
      </c>
      <c r="C3" s="3" t="s">
        <v>231</v>
      </c>
      <c r="D3" s="3" t="s">
        <v>232</v>
      </c>
      <c r="E3" s="3" t="s">
        <v>233</v>
      </c>
      <c r="F3" s="3" t="s">
        <v>234</v>
      </c>
    </row>
    <row r="4" ht="28" spans="1:6">
      <c r="A4" s="3">
        <v>2</v>
      </c>
      <c r="B4" s="3" t="s">
        <v>235</v>
      </c>
      <c r="C4" s="3" t="s">
        <v>236</v>
      </c>
      <c r="D4" s="3" t="s">
        <v>237</v>
      </c>
      <c r="E4" s="3" t="s">
        <v>233</v>
      </c>
      <c r="F4" s="3" t="s">
        <v>238</v>
      </c>
    </row>
    <row r="5" ht="28" spans="1:6">
      <c r="A5" s="3">
        <v>3</v>
      </c>
      <c r="B5" s="3" t="s">
        <v>239</v>
      </c>
      <c r="C5" s="3" t="s">
        <v>8</v>
      </c>
      <c r="D5" s="3" t="s">
        <v>240</v>
      </c>
      <c r="E5" s="3" t="s">
        <v>241</v>
      </c>
      <c r="F5" s="3" t="s">
        <v>242</v>
      </c>
    </row>
    <row r="6" ht="42" spans="1:6">
      <c r="A6" s="3">
        <v>4</v>
      </c>
      <c r="B6" s="3" t="s">
        <v>243</v>
      </c>
      <c r="C6" s="3" t="s">
        <v>8</v>
      </c>
      <c r="D6" s="3" t="s">
        <v>244</v>
      </c>
      <c r="E6" s="3" t="s">
        <v>245</v>
      </c>
      <c r="F6" s="3" t="s">
        <v>246</v>
      </c>
    </row>
    <row r="7" ht="28" spans="1:6">
      <c r="A7" s="3">
        <v>5</v>
      </c>
      <c r="B7" s="3" t="s">
        <v>247</v>
      </c>
      <c r="C7" s="3" t="s">
        <v>248</v>
      </c>
      <c r="D7" s="3" t="s">
        <v>249</v>
      </c>
      <c r="E7" s="3" t="s">
        <v>245</v>
      </c>
      <c r="F7" s="3" t="s">
        <v>250</v>
      </c>
    </row>
    <row r="8" ht="28" spans="1:6">
      <c r="A8" s="3">
        <v>6</v>
      </c>
      <c r="B8" s="3" t="s">
        <v>251</v>
      </c>
      <c r="C8" s="3" t="s">
        <v>252</v>
      </c>
      <c r="D8" s="3" t="s">
        <v>253</v>
      </c>
      <c r="E8" s="3" t="s">
        <v>254</v>
      </c>
      <c r="F8" s="3" t="s">
        <v>255</v>
      </c>
    </row>
    <row r="9" ht="28" spans="1:6">
      <c r="A9" s="3">
        <v>7</v>
      </c>
      <c r="B9" s="3" t="s">
        <v>256</v>
      </c>
      <c r="C9" s="3" t="s">
        <v>257</v>
      </c>
      <c r="D9" s="3" t="s">
        <v>258</v>
      </c>
      <c r="E9" s="3" t="s">
        <v>259</v>
      </c>
      <c r="F9" s="3" t="s">
        <v>260</v>
      </c>
    </row>
    <row r="10" ht="28" spans="1:6">
      <c r="A10" s="3">
        <v>8</v>
      </c>
      <c r="B10" s="3" t="s">
        <v>261</v>
      </c>
      <c r="C10" s="3" t="s">
        <v>262</v>
      </c>
      <c r="D10" s="3" t="s">
        <v>263</v>
      </c>
      <c r="E10" s="3" t="s">
        <v>259</v>
      </c>
      <c r="F10" s="3" t="s">
        <v>264</v>
      </c>
    </row>
    <row r="11" spans="1:6">
      <c r="A11">
        <v>9</v>
      </c>
      <c r="B11" t="s">
        <v>265</v>
      </c>
      <c r="C11" t="s">
        <v>248</v>
      </c>
      <c r="D11" t="s">
        <v>266</v>
      </c>
      <c r="E11" t="s">
        <v>267</v>
      </c>
      <c r="F11" t="s">
        <v>268</v>
      </c>
    </row>
    <row r="12" spans="1:6">
      <c r="A12">
        <v>9</v>
      </c>
      <c r="B12" t="s">
        <v>265</v>
      </c>
      <c r="C12" t="s">
        <v>248</v>
      </c>
      <c r="D12" t="s">
        <v>266</v>
      </c>
      <c r="E12" t="s">
        <v>267</v>
      </c>
      <c r="F12" t="s">
        <v>268</v>
      </c>
    </row>
    <row r="13" spans="1:6">
      <c r="A13">
        <v>10</v>
      </c>
      <c r="B13" t="s">
        <v>265</v>
      </c>
      <c r="C13" t="s">
        <v>248</v>
      </c>
      <c r="D13" t="s">
        <v>269</v>
      </c>
      <c r="E13" t="s">
        <v>267</v>
      </c>
      <c r="F13" t="s">
        <v>270</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使用说明</vt:lpstr>
      <vt:lpstr>淘宝TOP10</vt:lpstr>
      <vt:lpstr>生意参谋TOP10（7天）</vt:lpstr>
      <vt:lpstr>生意参谋店铺TOP10（30天）</vt:lpstr>
      <vt:lpstr>市场规模</vt:lpstr>
      <vt:lpstr>百度指数录入</vt:lpstr>
      <vt:lpstr>数据来源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阳</cp:lastModifiedBy>
  <dcterms:created xsi:type="dcterms:W3CDTF">2026-09-10T07:53:00Z</dcterms:created>
  <dcterms:modified xsi:type="dcterms:W3CDTF">2026-09-13T13:46:22Z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B82B0DE6F4F04D52A63131942163206E_12</vt:lpwstr>
  </property>
  <property fmtid="{D5CDD505-2E9C-101B-9397-08002B2CF9AE}" pid="3" name="KSOProductBuildVer">
    <vt:lpwstr>2052-12.1.0.22529</vt:lpwstr>
  </property>
</Properties>
</file>